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Caisse" sheetId="4" state="visible" r:id="rId4"/>
    <sheet xmlns:r="http://schemas.openxmlformats.org/officeDocument/2006/relationships" name="Clôtures" sheetId="5" state="visible" r:id="rId5"/>
    <sheet xmlns:r="http://schemas.openxmlformats.org/officeDocument/2006/relationships" name="Stocks" sheetId="6" state="visible" r:id="rId6"/>
    <sheet xmlns:r="http://schemas.openxmlformats.org/officeDocument/2006/relationships" name="Crédits clients" sheetId="7" state="visible" r:id="rId7"/>
    <sheet xmlns:r="http://schemas.openxmlformats.org/officeDocument/2006/relationships" name="Avances" sheetId="8" state="visible" r:id="rId8"/>
  </sheets>
  <definedNames>
    <definedName name="_xlnm._FilterDatabase" localSheetId="3" hidden="1">'Caisse'!$A$4:$J$604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CFA&quot;;-#,##0 &quot;FCFA&quot;;&quot;-&quot;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C8102E"/>
      <sz val="16"/>
    </font>
    <font>
      <i val="1"/>
      <color rgb="006B5D58"/>
      <sz val="9"/>
    </font>
    <font>
      <b val="1"/>
      <color rgb="007E0A1E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7E0A1E"/>
      </patternFill>
    </fill>
    <fill>
      <patternFill patternType="solid">
        <fgColor rgb="00FFF4E2"/>
      </patternFill>
    </fill>
  </fills>
  <borders count="2">
    <border>
      <left/>
      <right/>
      <top/>
      <bottom/>
      <diagonal/>
    </border>
    <border>
      <left style="thin">
        <color rgb="00C9B8B2"/>
      </left>
      <right style="thin">
        <color rgb="00C9B8B2"/>
      </right>
      <top style="thin">
        <color rgb="00C9B8B2"/>
      </top>
      <bottom style="thin">
        <color rgb="00C9B8B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9" fontId="3" fillId="4" borderId="1" pivotButton="0" quotePrefix="0" xfId="0"/>
    <xf numFmtId="0" fontId="0" fillId="4" borderId="1" pivotButton="0" quotePrefix="0" xfId="0"/>
    <xf numFmtId="0" fontId="5" fillId="3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164" fontId="0" fillId="2" borderId="1" pivotButton="0" quotePrefix="0" xfId="0"/>
    <xf numFmtId="165" fontId="0" fillId="2" borderId="1" pivotButton="0" quotePrefix="0" xfId="0"/>
  </cellXfs>
  <cellStyles count="1">
    <cellStyle name="Normal" xfId="0" builtinId="0" hidden="0"/>
  </cellStyles>
  <dxfs count="2">
    <dxf>
      <font>
        <b val="1"/>
        <color rgb="007E0A1E"/>
      </font>
      <fill>
        <patternFill patternType="solid">
          <fgColor rgb="00F8C9CF"/>
        </patternFill>
      </fill>
    </dxf>
    <dxf>
      <font>
        <b val="1"/>
        <color rgb="00C810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Ventes et dépenses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bord'!B4</f>
            </strRef>
          </tx>
          <spPr>
            <a:solidFill xmlns:a="http://schemas.openxmlformats.org/drawingml/2006/main">
              <a:srgbClr val="1F78B4"/>
            </a:solidFill>
            <a:ln xmlns:a="http://schemas.openxmlformats.org/drawingml/2006/main">
              <a:noFill/>
              <a:prstDash val="solid"/>
            </a:ln>
          </spPr>
          <cat>
            <numRef>
              <f>'Tableau de bord'!$A$5:$A$16</f>
            </numRef>
          </cat>
          <val>
            <numRef>
              <f>'Tableau de bord'!$B$5:$B$16</f>
            </numRef>
          </val>
        </ser>
        <ser>
          <idx val="1"/>
          <order val="1"/>
          <tx>
            <strRef>
              <f>'Tableau de bord'!D4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noFill/>
              <a:prstDash val="solid"/>
            </a:ln>
          </spPr>
          <cat>
            <numRef>
              <f>'Tableau de bord'!$A$5:$A$16</f>
            </numRef>
          </cat>
          <val>
            <numRef>
              <f>'Tableau de bord'!$D$5:$D$16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FCFA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La Tendresse de Ketchup — Classeur de pilotage</t>
        </is>
      </c>
    </row>
    <row r="2">
      <c r="A2" s="2" t="inlineStr">
        <is>
          <t>Restaurant-Bar · Quartier Diata, Brazzaville</t>
        </is>
      </c>
    </row>
    <row r="4" ht="32" customHeight="1">
      <c r="A4" s="3" t="inlineStr">
        <is>
          <t>Principe</t>
        </is>
      </c>
      <c r="B4" s="4" t="inlineStr">
        <is>
          <t>Les cellules BLANCHES se saisissent. Les cellules CRÈME se calculent toutes seules : ne pas les effacer.</t>
        </is>
      </c>
    </row>
    <row r="5" ht="32" customHeight="1">
      <c r="A5" s="3" t="inlineStr">
        <is>
          <t>1. Paramètres</t>
        </is>
      </c>
      <c r="B5" s="4" t="inlineStr">
        <is>
          <t>Saisir le fonds de caisse de départ, la liste du personnel et l'année suivie.</t>
        </is>
      </c>
    </row>
    <row r="6" ht="32" customHeight="1">
      <c r="A6" s="3" t="inlineStr">
        <is>
          <t>2. Caisse</t>
        </is>
      </c>
      <c r="B6" s="4" t="inlineStr">
        <is>
          <t>Chaque soir, recopier les pièces de caisse (entrées/sorties) et les ventes du jour (une ligne par mode de paiement).</t>
        </is>
      </c>
    </row>
    <row r="7" ht="32" customHeight="1">
      <c r="A7" s="3" t="inlineStr">
        <is>
          <t>3. Clôtures</t>
        </is>
      </c>
      <c r="B7" s="4" t="inlineStr">
        <is>
          <t>Chaque soir, reporter le solde théorique et les espèces comptées de la fiche de clôture : l'écart se calcule.</t>
        </is>
      </c>
    </row>
    <row r="8" ht="32" customHeight="1">
      <c r="A8" s="3" t="inlineStr">
        <is>
          <t>4. Stocks</t>
        </is>
      </c>
      <c r="B8" s="4" t="inlineStr">
        <is>
          <t>Une ligne par article. Chaque semaine, saisir les entrées, sorties et le stock compté de l'inventaire.</t>
        </is>
      </c>
    </row>
    <row r="9" ht="32" customHeight="1">
      <c r="A9" s="3" t="inlineStr">
        <is>
          <t>5. Crédits</t>
        </is>
      </c>
      <c r="B9" s="4" t="inlineStr">
        <is>
          <t>Reporter le registre des crédits clients. Le statut (soldé / en retard) se met à jour seul.</t>
        </is>
      </c>
    </row>
    <row r="10" ht="32" customHeight="1">
      <c r="A10" s="3" t="inlineStr">
        <is>
          <t>6. Avances</t>
        </is>
      </c>
      <c r="B10" s="4" t="inlineStr">
        <is>
          <t>Reporter les bons d'avance sur salaire.</t>
        </is>
      </c>
    </row>
    <row r="11" ht="32" customHeight="1">
      <c r="A11" s="3" t="inlineStr">
        <is>
          <t>7. Tableau de bord</t>
        </is>
      </c>
      <c r="B11" s="4" t="inlineStr">
        <is>
          <t>Rien à saisir : synthèse mensuelle automatique + graphique. À présenter chaque mois à la Direction.</t>
        </is>
      </c>
    </row>
    <row r="12" ht="32" customHeight="1">
      <c r="A12" s="3" t="inlineStr">
        <is>
          <t>Règle d'or</t>
        </is>
      </c>
      <c r="B12" s="4" t="inlineStr">
        <is>
          <t>Pas d'argent qui entre ou qui sort sans papier. Un papier = une ligne dans ce classeur.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1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La Tendresse de Ketchup — Tableau de bord</t>
        </is>
      </c>
    </row>
    <row r="2">
      <c r="A2" s="2" t="inlineStr">
        <is>
          <t>Calcul automatique à partir des onglets Caisse, Clôtures, Stocks, Crédits et Avances.</t>
        </is>
      </c>
    </row>
    <row r="4" ht="30" customHeight="1">
      <c r="A4" s="5" t="inlineStr">
        <is>
          <t>Mois</t>
        </is>
      </c>
      <c r="B4" s="5" t="inlineStr">
        <is>
          <t>Ventes FCFA</t>
        </is>
      </c>
      <c r="C4" s="5" t="inlineStr">
        <is>
          <t>Autres entrées FCFA</t>
        </is>
      </c>
      <c r="D4" s="5" t="inlineStr">
        <is>
          <t>Dépenses FCFA</t>
        </is>
      </c>
      <c r="E4" s="5" t="inlineStr">
        <is>
          <t>Résultat FCFA</t>
        </is>
      </c>
      <c r="F4" s="5" t="inlineStr">
        <is>
          <t>Résultat / ventes</t>
        </is>
      </c>
      <c r="G4" s="5" t="inlineStr">
        <is>
          <t>Écarts de caisse FCFA</t>
        </is>
      </c>
      <c r="H4" s="5" t="inlineStr">
        <is>
          <t>Avances FCFA</t>
        </is>
      </c>
      <c r="I4" s="5" t="inlineStr">
        <is>
          <t>Achat boissons</t>
        </is>
      </c>
      <c r="J4" s="5" t="inlineStr">
        <is>
          <t>Achat cuisine / denrées</t>
        </is>
      </c>
      <c r="K4" s="5" t="inlineStr">
        <is>
          <t>Salaire / avance</t>
        </is>
      </c>
      <c r="L4" s="5" t="inlineStr">
        <is>
          <t>Loyer</t>
        </is>
      </c>
      <c r="M4" s="5" t="inlineStr">
        <is>
          <t>Électricité / eau</t>
        </is>
      </c>
      <c r="N4" s="5" t="inlineStr">
        <is>
          <t>Transport</t>
        </is>
      </c>
      <c r="O4" s="5" t="inlineStr">
        <is>
          <t>Entretien / réparation</t>
        </is>
      </c>
      <c r="P4" s="5" t="inlineStr">
        <is>
          <t>Taxes / mairie</t>
        </is>
      </c>
      <c r="Q4" s="5" t="inlineStr">
        <is>
          <t>Autre dépense</t>
        </is>
      </c>
    </row>
    <row r="5">
      <c r="A5" s="6" t="inlineStr">
        <is>
          <t>Janvier</t>
        </is>
      </c>
      <c r="B5" s="7">
        <f>SUMIFS(Caisse!$G$5:$G$604,Caisse!$D$5:$D$604,"Ventes du jour",Caisse!$J$5:$J$604,1,Caisse!$A$5:$A$604,"&gt;="&amp;DATE(Paramètres!$B$4,1,1),Caisse!$A$5:$A$604,"&lt;="&amp;DATE(Paramètres!$B$4,12,31))</f>
        <v/>
      </c>
      <c r="C5" s="7">
        <f>SUMIFS(Caisse!$G$5:$G$604,Caisse!$J$5:$J$604,1,Caisse!$A$5:$A$604,"&gt;="&amp;DATE(Paramètres!$B$4,1,1),Caisse!$A$5:$A$604,"&lt;="&amp;DATE(Paramètres!$B$4,12,31))-B5</f>
        <v/>
      </c>
      <c r="D5" s="7">
        <f>SUMIFS(Caisse!$H$5:$H$604,Caisse!$J$5:$J$604,1,Caisse!$A$5:$A$604,"&gt;="&amp;DATE(Paramètres!$B$4,1,1),Caisse!$A$5:$A$604,"&lt;="&amp;DATE(Paramètres!$B$4,12,31))</f>
        <v/>
      </c>
      <c r="E5" s="7">
        <f>B5+C5-D5</f>
        <v/>
      </c>
      <c r="F5" s="8">
        <f>IF(B5=0,"",E5/B5)</f>
        <v/>
      </c>
      <c r="G5" s="7">
        <f>SUMIFS(Clôtures!$E$5:$E$404,Clôtures!$I$5:$I$404,1,Clôtures!$A$5:$A$404,"&gt;="&amp;DATE(Paramètres!$B$4,1,1),Clôtures!$A$5:$A$404,"&lt;="&amp;DATE(Paramètres!$B$4,12,31))</f>
        <v/>
      </c>
      <c r="H5" s="7">
        <f>SUMIFS(Avances!$D$5:$D$304,Avances!$G$5:$G$304,1,Avances!$A$5:$A$304,"&gt;="&amp;DATE(Paramètres!$B$4,1,1),Avances!$A$5:$A$304,"&lt;="&amp;DATE(Paramètres!$B$4,12,31))</f>
        <v/>
      </c>
      <c r="I5" s="7">
        <f>SUMIFS(Caisse!$H$5:$H$604,Caisse!$D$5:$D$604,"Achat boissons",Caisse!$J$5:$J$604,1,Caisse!$A$5:$A$604,"&gt;="&amp;DATE(Paramètres!$B$4,1,1),Caisse!$A$5:$A$604,"&lt;="&amp;DATE(Paramètres!$B$4,12,31))</f>
        <v/>
      </c>
      <c r="J5" s="7">
        <f>SUMIFS(Caisse!$H$5:$H$604,Caisse!$D$5:$D$604,"Achat cuisine / denrées",Caisse!$J$5:$J$604,1,Caisse!$A$5:$A$604,"&gt;="&amp;DATE(Paramètres!$B$4,1,1),Caisse!$A$5:$A$604,"&lt;="&amp;DATE(Paramètres!$B$4,12,31))</f>
        <v/>
      </c>
      <c r="K5" s="7">
        <f>SUMIFS(Caisse!$H$5:$H$604,Caisse!$D$5:$D$604,"Salaire / avance",Caisse!$J$5:$J$604,1,Caisse!$A$5:$A$604,"&gt;="&amp;DATE(Paramètres!$B$4,1,1),Caisse!$A$5:$A$604,"&lt;="&amp;DATE(Paramètres!$B$4,12,31))</f>
        <v/>
      </c>
      <c r="L5" s="7">
        <f>SUMIFS(Caisse!$H$5:$H$604,Caisse!$D$5:$D$604,"Loyer",Caisse!$J$5:$J$604,1,Caisse!$A$5:$A$604,"&gt;="&amp;DATE(Paramètres!$B$4,1,1),Caisse!$A$5:$A$604,"&lt;="&amp;DATE(Paramètres!$B$4,12,31))</f>
        <v/>
      </c>
      <c r="M5" s="7">
        <f>SUMIFS(Caisse!$H$5:$H$604,Caisse!$D$5:$D$604,"Électricité / eau",Caisse!$J$5:$J$604,1,Caisse!$A$5:$A$604,"&gt;="&amp;DATE(Paramètres!$B$4,1,1),Caisse!$A$5:$A$604,"&lt;="&amp;DATE(Paramètres!$B$4,12,31))</f>
        <v/>
      </c>
      <c r="N5" s="7">
        <f>SUMIFS(Caisse!$H$5:$H$604,Caisse!$D$5:$D$604,"Transport",Caisse!$J$5:$J$604,1,Caisse!$A$5:$A$604,"&gt;="&amp;DATE(Paramètres!$B$4,1,1),Caisse!$A$5:$A$604,"&lt;="&amp;DATE(Paramètres!$B$4,12,31))</f>
        <v/>
      </c>
      <c r="O5" s="7">
        <f>SUMIFS(Caisse!$H$5:$H$604,Caisse!$D$5:$D$604,"Entretien / réparation",Caisse!$J$5:$J$604,1,Caisse!$A$5:$A$604,"&gt;="&amp;DATE(Paramètres!$B$4,1,1),Caisse!$A$5:$A$604,"&lt;="&amp;DATE(Paramètres!$B$4,12,31))</f>
        <v/>
      </c>
      <c r="P5" s="7">
        <f>SUMIFS(Caisse!$H$5:$H$604,Caisse!$D$5:$D$604,"Taxes / mairie",Caisse!$J$5:$J$604,1,Caisse!$A$5:$A$604,"&gt;="&amp;DATE(Paramètres!$B$4,1,1),Caisse!$A$5:$A$604,"&lt;="&amp;DATE(Paramètres!$B$4,12,31))</f>
        <v/>
      </c>
      <c r="Q5" s="7">
        <f>SUMIFS(Caisse!$H$5:$H$604,Caisse!$D$5:$D$604,"Autre dépense",Caisse!$J$5:$J$604,1,Caisse!$A$5:$A$604,"&gt;="&amp;DATE(Paramètres!$B$4,1,1),Caisse!$A$5:$A$604,"&lt;="&amp;DATE(Paramètres!$B$4,12,31))</f>
        <v/>
      </c>
    </row>
    <row r="6">
      <c r="A6" s="6" t="inlineStr">
        <is>
          <t>Février</t>
        </is>
      </c>
      <c r="B6" s="7">
        <f>SUMIFS(Caisse!$G$5:$G$604,Caisse!$D$5:$D$604,"Ventes du jour",Caisse!$J$5:$J$604,2,Caisse!$A$5:$A$604,"&gt;="&amp;DATE(Paramètres!$B$4,1,1),Caisse!$A$5:$A$604,"&lt;="&amp;DATE(Paramètres!$B$4,12,31))</f>
        <v/>
      </c>
      <c r="C6" s="7">
        <f>SUMIFS(Caisse!$G$5:$G$604,Caisse!$J$5:$J$604,2,Caisse!$A$5:$A$604,"&gt;="&amp;DATE(Paramètres!$B$4,1,1),Caisse!$A$5:$A$604,"&lt;="&amp;DATE(Paramètres!$B$4,12,31))-B6</f>
        <v/>
      </c>
      <c r="D6" s="7">
        <f>SUMIFS(Caisse!$H$5:$H$604,Caisse!$J$5:$J$604,2,Caisse!$A$5:$A$604,"&gt;="&amp;DATE(Paramètres!$B$4,1,1),Caisse!$A$5:$A$604,"&lt;="&amp;DATE(Paramètres!$B$4,12,31))</f>
        <v/>
      </c>
      <c r="E6" s="7">
        <f>B6+C6-D6</f>
        <v/>
      </c>
      <c r="F6" s="8">
        <f>IF(B6=0,"",E6/B6)</f>
        <v/>
      </c>
      <c r="G6" s="7">
        <f>SUMIFS(Clôtures!$E$5:$E$404,Clôtures!$I$5:$I$404,2,Clôtures!$A$5:$A$404,"&gt;="&amp;DATE(Paramètres!$B$4,1,1),Clôtures!$A$5:$A$404,"&lt;="&amp;DATE(Paramètres!$B$4,12,31))</f>
        <v/>
      </c>
      <c r="H6" s="7">
        <f>SUMIFS(Avances!$D$5:$D$304,Avances!$G$5:$G$304,2,Avances!$A$5:$A$304,"&gt;="&amp;DATE(Paramètres!$B$4,1,1),Avances!$A$5:$A$304,"&lt;="&amp;DATE(Paramètres!$B$4,12,31))</f>
        <v/>
      </c>
      <c r="I6" s="7">
        <f>SUMIFS(Caisse!$H$5:$H$604,Caisse!$D$5:$D$604,"Achat boissons",Caisse!$J$5:$J$604,2,Caisse!$A$5:$A$604,"&gt;="&amp;DATE(Paramètres!$B$4,1,1),Caisse!$A$5:$A$604,"&lt;="&amp;DATE(Paramètres!$B$4,12,31))</f>
        <v/>
      </c>
      <c r="J6" s="7">
        <f>SUMIFS(Caisse!$H$5:$H$604,Caisse!$D$5:$D$604,"Achat cuisine / denrées",Caisse!$J$5:$J$604,2,Caisse!$A$5:$A$604,"&gt;="&amp;DATE(Paramètres!$B$4,1,1),Caisse!$A$5:$A$604,"&lt;="&amp;DATE(Paramètres!$B$4,12,31))</f>
        <v/>
      </c>
      <c r="K6" s="7">
        <f>SUMIFS(Caisse!$H$5:$H$604,Caisse!$D$5:$D$604,"Salaire / avance",Caisse!$J$5:$J$604,2,Caisse!$A$5:$A$604,"&gt;="&amp;DATE(Paramètres!$B$4,1,1),Caisse!$A$5:$A$604,"&lt;="&amp;DATE(Paramètres!$B$4,12,31))</f>
        <v/>
      </c>
      <c r="L6" s="7">
        <f>SUMIFS(Caisse!$H$5:$H$604,Caisse!$D$5:$D$604,"Loyer",Caisse!$J$5:$J$604,2,Caisse!$A$5:$A$604,"&gt;="&amp;DATE(Paramètres!$B$4,1,1),Caisse!$A$5:$A$604,"&lt;="&amp;DATE(Paramètres!$B$4,12,31))</f>
        <v/>
      </c>
      <c r="M6" s="7">
        <f>SUMIFS(Caisse!$H$5:$H$604,Caisse!$D$5:$D$604,"Électricité / eau",Caisse!$J$5:$J$604,2,Caisse!$A$5:$A$604,"&gt;="&amp;DATE(Paramètres!$B$4,1,1),Caisse!$A$5:$A$604,"&lt;="&amp;DATE(Paramètres!$B$4,12,31))</f>
        <v/>
      </c>
      <c r="N6" s="7">
        <f>SUMIFS(Caisse!$H$5:$H$604,Caisse!$D$5:$D$604,"Transport",Caisse!$J$5:$J$604,2,Caisse!$A$5:$A$604,"&gt;="&amp;DATE(Paramètres!$B$4,1,1),Caisse!$A$5:$A$604,"&lt;="&amp;DATE(Paramètres!$B$4,12,31))</f>
        <v/>
      </c>
      <c r="O6" s="7">
        <f>SUMIFS(Caisse!$H$5:$H$604,Caisse!$D$5:$D$604,"Entretien / réparation",Caisse!$J$5:$J$604,2,Caisse!$A$5:$A$604,"&gt;="&amp;DATE(Paramètres!$B$4,1,1),Caisse!$A$5:$A$604,"&lt;="&amp;DATE(Paramètres!$B$4,12,31))</f>
        <v/>
      </c>
      <c r="P6" s="7">
        <f>SUMIFS(Caisse!$H$5:$H$604,Caisse!$D$5:$D$604,"Taxes / mairie",Caisse!$J$5:$J$604,2,Caisse!$A$5:$A$604,"&gt;="&amp;DATE(Paramètres!$B$4,1,1),Caisse!$A$5:$A$604,"&lt;="&amp;DATE(Paramètres!$B$4,12,31))</f>
        <v/>
      </c>
      <c r="Q6" s="7">
        <f>SUMIFS(Caisse!$H$5:$H$604,Caisse!$D$5:$D$604,"Autre dépense",Caisse!$J$5:$J$604,2,Caisse!$A$5:$A$604,"&gt;="&amp;DATE(Paramètres!$B$4,1,1),Caisse!$A$5:$A$604,"&lt;="&amp;DATE(Paramètres!$B$4,12,31))</f>
        <v/>
      </c>
    </row>
    <row r="7">
      <c r="A7" s="6" t="inlineStr">
        <is>
          <t>Mars</t>
        </is>
      </c>
      <c r="B7" s="7">
        <f>SUMIFS(Caisse!$G$5:$G$604,Caisse!$D$5:$D$604,"Ventes du jour",Caisse!$J$5:$J$604,3,Caisse!$A$5:$A$604,"&gt;="&amp;DATE(Paramètres!$B$4,1,1),Caisse!$A$5:$A$604,"&lt;="&amp;DATE(Paramètres!$B$4,12,31))</f>
        <v/>
      </c>
      <c r="C7" s="7">
        <f>SUMIFS(Caisse!$G$5:$G$604,Caisse!$J$5:$J$604,3,Caisse!$A$5:$A$604,"&gt;="&amp;DATE(Paramètres!$B$4,1,1),Caisse!$A$5:$A$604,"&lt;="&amp;DATE(Paramètres!$B$4,12,31))-B7</f>
        <v/>
      </c>
      <c r="D7" s="7">
        <f>SUMIFS(Caisse!$H$5:$H$604,Caisse!$J$5:$J$604,3,Caisse!$A$5:$A$604,"&gt;="&amp;DATE(Paramètres!$B$4,1,1),Caisse!$A$5:$A$604,"&lt;="&amp;DATE(Paramètres!$B$4,12,31))</f>
        <v/>
      </c>
      <c r="E7" s="7">
        <f>B7+C7-D7</f>
        <v/>
      </c>
      <c r="F7" s="8">
        <f>IF(B7=0,"",E7/B7)</f>
        <v/>
      </c>
      <c r="G7" s="7">
        <f>SUMIFS(Clôtures!$E$5:$E$404,Clôtures!$I$5:$I$404,3,Clôtures!$A$5:$A$404,"&gt;="&amp;DATE(Paramètres!$B$4,1,1),Clôtures!$A$5:$A$404,"&lt;="&amp;DATE(Paramètres!$B$4,12,31))</f>
        <v/>
      </c>
      <c r="H7" s="7">
        <f>SUMIFS(Avances!$D$5:$D$304,Avances!$G$5:$G$304,3,Avances!$A$5:$A$304,"&gt;="&amp;DATE(Paramètres!$B$4,1,1),Avances!$A$5:$A$304,"&lt;="&amp;DATE(Paramètres!$B$4,12,31))</f>
        <v/>
      </c>
      <c r="I7" s="7">
        <f>SUMIFS(Caisse!$H$5:$H$604,Caisse!$D$5:$D$604,"Achat boissons",Caisse!$J$5:$J$604,3,Caisse!$A$5:$A$604,"&gt;="&amp;DATE(Paramètres!$B$4,1,1),Caisse!$A$5:$A$604,"&lt;="&amp;DATE(Paramètres!$B$4,12,31))</f>
        <v/>
      </c>
      <c r="J7" s="7">
        <f>SUMIFS(Caisse!$H$5:$H$604,Caisse!$D$5:$D$604,"Achat cuisine / denrées",Caisse!$J$5:$J$604,3,Caisse!$A$5:$A$604,"&gt;="&amp;DATE(Paramètres!$B$4,1,1),Caisse!$A$5:$A$604,"&lt;="&amp;DATE(Paramètres!$B$4,12,31))</f>
        <v/>
      </c>
      <c r="K7" s="7">
        <f>SUMIFS(Caisse!$H$5:$H$604,Caisse!$D$5:$D$604,"Salaire / avance",Caisse!$J$5:$J$604,3,Caisse!$A$5:$A$604,"&gt;="&amp;DATE(Paramètres!$B$4,1,1),Caisse!$A$5:$A$604,"&lt;="&amp;DATE(Paramètres!$B$4,12,31))</f>
        <v/>
      </c>
      <c r="L7" s="7">
        <f>SUMIFS(Caisse!$H$5:$H$604,Caisse!$D$5:$D$604,"Loyer",Caisse!$J$5:$J$604,3,Caisse!$A$5:$A$604,"&gt;="&amp;DATE(Paramètres!$B$4,1,1),Caisse!$A$5:$A$604,"&lt;="&amp;DATE(Paramètres!$B$4,12,31))</f>
        <v/>
      </c>
      <c r="M7" s="7">
        <f>SUMIFS(Caisse!$H$5:$H$604,Caisse!$D$5:$D$604,"Électricité / eau",Caisse!$J$5:$J$604,3,Caisse!$A$5:$A$604,"&gt;="&amp;DATE(Paramètres!$B$4,1,1),Caisse!$A$5:$A$604,"&lt;="&amp;DATE(Paramètres!$B$4,12,31))</f>
        <v/>
      </c>
      <c r="N7" s="7">
        <f>SUMIFS(Caisse!$H$5:$H$604,Caisse!$D$5:$D$604,"Transport",Caisse!$J$5:$J$604,3,Caisse!$A$5:$A$604,"&gt;="&amp;DATE(Paramètres!$B$4,1,1),Caisse!$A$5:$A$604,"&lt;="&amp;DATE(Paramètres!$B$4,12,31))</f>
        <v/>
      </c>
      <c r="O7" s="7">
        <f>SUMIFS(Caisse!$H$5:$H$604,Caisse!$D$5:$D$604,"Entretien / réparation",Caisse!$J$5:$J$604,3,Caisse!$A$5:$A$604,"&gt;="&amp;DATE(Paramètres!$B$4,1,1),Caisse!$A$5:$A$604,"&lt;="&amp;DATE(Paramètres!$B$4,12,31))</f>
        <v/>
      </c>
      <c r="P7" s="7">
        <f>SUMIFS(Caisse!$H$5:$H$604,Caisse!$D$5:$D$604,"Taxes / mairie",Caisse!$J$5:$J$604,3,Caisse!$A$5:$A$604,"&gt;="&amp;DATE(Paramètres!$B$4,1,1),Caisse!$A$5:$A$604,"&lt;="&amp;DATE(Paramètres!$B$4,12,31))</f>
        <v/>
      </c>
      <c r="Q7" s="7">
        <f>SUMIFS(Caisse!$H$5:$H$604,Caisse!$D$5:$D$604,"Autre dépense",Caisse!$J$5:$J$604,3,Caisse!$A$5:$A$604,"&gt;="&amp;DATE(Paramètres!$B$4,1,1),Caisse!$A$5:$A$604,"&lt;="&amp;DATE(Paramètres!$B$4,12,31))</f>
        <v/>
      </c>
    </row>
    <row r="8">
      <c r="A8" s="6" t="inlineStr">
        <is>
          <t>Avril</t>
        </is>
      </c>
      <c r="B8" s="7">
        <f>SUMIFS(Caisse!$G$5:$G$604,Caisse!$D$5:$D$604,"Ventes du jour",Caisse!$J$5:$J$604,4,Caisse!$A$5:$A$604,"&gt;="&amp;DATE(Paramètres!$B$4,1,1),Caisse!$A$5:$A$604,"&lt;="&amp;DATE(Paramètres!$B$4,12,31))</f>
        <v/>
      </c>
      <c r="C8" s="7">
        <f>SUMIFS(Caisse!$G$5:$G$604,Caisse!$J$5:$J$604,4,Caisse!$A$5:$A$604,"&gt;="&amp;DATE(Paramètres!$B$4,1,1),Caisse!$A$5:$A$604,"&lt;="&amp;DATE(Paramètres!$B$4,12,31))-B8</f>
        <v/>
      </c>
      <c r="D8" s="7">
        <f>SUMIFS(Caisse!$H$5:$H$604,Caisse!$J$5:$J$604,4,Caisse!$A$5:$A$604,"&gt;="&amp;DATE(Paramètres!$B$4,1,1),Caisse!$A$5:$A$604,"&lt;="&amp;DATE(Paramètres!$B$4,12,31))</f>
        <v/>
      </c>
      <c r="E8" s="7">
        <f>B8+C8-D8</f>
        <v/>
      </c>
      <c r="F8" s="8">
        <f>IF(B8=0,"",E8/B8)</f>
        <v/>
      </c>
      <c r="G8" s="7">
        <f>SUMIFS(Clôtures!$E$5:$E$404,Clôtures!$I$5:$I$404,4,Clôtures!$A$5:$A$404,"&gt;="&amp;DATE(Paramètres!$B$4,1,1),Clôtures!$A$5:$A$404,"&lt;="&amp;DATE(Paramètres!$B$4,12,31))</f>
        <v/>
      </c>
      <c r="H8" s="7">
        <f>SUMIFS(Avances!$D$5:$D$304,Avances!$G$5:$G$304,4,Avances!$A$5:$A$304,"&gt;="&amp;DATE(Paramètres!$B$4,1,1),Avances!$A$5:$A$304,"&lt;="&amp;DATE(Paramètres!$B$4,12,31))</f>
        <v/>
      </c>
      <c r="I8" s="7">
        <f>SUMIFS(Caisse!$H$5:$H$604,Caisse!$D$5:$D$604,"Achat boissons",Caisse!$J$5:$J$604,4,Caisse!$A$5:$A$604,"&gt;="&amp;DATE(Paramètres!$B$4,1,1),Caisse!$A$5:$A$604,"&lt;="&amp;DATE(Paramètres!$B$4,12,31))</f>
        <v/>
      </c>
      <c r="J8" s="7">
        <f>SUMIFS(Caisse!$H$5:$H$604,Caisse!$D$5:$D$604,"Achat cuisine / denrées",Caisse!$J$5:$J$604,4,Caisse!$A$5:$A$604,"&gt;="&amp;DATE(Paramètres!$B$4,1,1),Caisse!$A$5:$A$604,"&lt;="&amp;DATE(Paramètres!$B$4,12,31))</f>
        <v/>
      </c>
      <c r="K8" s="7">
        <f>SUMIFS(Caisse!$H$5:$H$604,Caisse!$D$5:$D$604,"Salaire / avance",Caisse!$J$5:$J$604,4,Caisse!$A$5:$A$604,"&gt;="&amp;DATE(Paramètres!$B$4,1,1),Caisse!$A$5:$A$604,"&lt;="&amp;DATE(Paramètres!$B$4,12,31))</f>
        <v/>
      </c>
      <c r="L8" s="7">
        <f>SUMIFS(Caisse!$H$5:$H$604,Caisse!$D$5:$D$604,"Loyer",Caisse!$J$5:$J$604,4,Caisse!$A$5:$A$604,"&gt;="&amp;DATE(Paramètres!$B$4,1,1),Caisse!$A$5:$A$604,"&lt;="&amp;DATE(Paramètres!$B$4,12,31))</f>
        <v/>
      </c>
      <c r="M8" s="7">
        <f>SUMIFS(Caisse!$H$5:$H$604,Caisse!$D$5:$D$604,"Électricité / eau",Caisse!$J$5:$J$604,4,Caisse!$A$5:$A$604,"&gt;="&amp;DATE(Paramètres!$B$4,1,1),Caisse!$A$5:$A$604,"&lt;="&amp;DATE(Paramètres!$B$4,12,31))</f>
        <v/>
      </c>
      <c r="N8" s="7">
        <f>SUMIFS(Caisse!$H$5:$H$604,Caisse!$D$5:$D$604,"Transport",Caisse!$J$5:$J$604,4,Caisse!$A$5:$A$604,"&gt;="&amp;DATE(Paramètres!$B$4,1,1),Caisse!$A$5:$A$604,"&lt;="&amp;DATE(Paramètres!$B$4,12,31))</f>
        <v/>
      </c>
      <c r="O8" s="7">
        <f>SUMIFS(Caisse!$H$5:$H$604,Caisse!$D$5:$D$604,"Entretien / réparation",Caisse!$J$5:$J$604,4,Caisse!$A$5:$A$604,"&gt;="&amp;DATE(Paramètres!$B$4,1,1),Caisse!$A$5:$A$604,"&lt;="&amp;DATE(Paramètres!$B$4,12,31))</f>
        <v/>
      </c>
      <c r="P8" s="7">
        <f>SUMIFS(Caisse!$H$5:$H$604,Caisse!$D$5:$D$604,"Taxes / mairie",Caisse!$J$5:$J$604,4,Caisse!$A$5:$A$604,"&gt;="&amp;DATE(Paramètres!$B$4,1,1),Caisse!$A$5:$A$604,"&lt;="&amp;DATE(Paramètres!$B$4,12,31))</f>
        <v/>
      </c>
      <c r="Q8" s="7">
        <f>SUMIFS(Caisse!$H$5:$H$604,Caisse!$D$5:$D$604,"Autre dépense",Caisse!$J$5:$J$604,4,Caisse!$A$5:$A$604,"&gt;="&amp;DATE(Paramètres!$B$4,1,1),Caisse!$A$5:$A$604,"&lt;="&amp;DATE(Paramètres!$B$4,12,31))</f>
        <v/>
      </c>
    </row>
    <row r="9">
      <c r="A9" s="6" t="inlineStr">
        <is>
          <t>Mai</t>
        </is>
      </c>
      <c r="B9" s="7">
        <f>SUMIFS(Caisse!$G$5:$G$604,Caisse!$D$5:$D$604,"Ventes du jour",Caisse!$J$5:$J$604,5,Caisse!$A$5:$A$604,"&gt;="&amp;DATE(Paramètres!$B$4,1,1),Caisse!$A$5:$A$604,"&lt;="&amp;DATE(Paramètres!$B$4,12,31))</f>
        <v/>
      </c>
      <c r="C9" s="7">
        <f>SUMIFS(Caisse!$G$5:$G$604,Caisse!$J$5:$J$604,5,Caisse!$A$5:$A$604,"&gt;="&amp;DATE(Paramètres!$B$4,1,1),Caisse!$A$5:$A$604,"&lt;="&amp;DATE(Paramètres!$B$4,12,31))-B9</f>
        <v/>
      </c>
      <c r="D9" s="7">
        <f>SUMIFS(Caisse!$H$5:$H$604,Caisse!$J$5:$J$604,5,Caisse!$A$5:$A$604,"&gt;="&amp;DATE(Paramètres!$B$4,1,1),Caisse!$A$5:$A$604,"&lt;="&amp;DATE(Paramètres!$B$4,12,31))</f>
        <v/>
      </c>
      <c r="E9" s="7">
        <f>B9+C9-D9</f>
        <v/>
      </c>
      <c r="F9" s="8">
        <f>IF(B9=0,"",E9/B9)</f>
        <v/>
      </c>
      <c r="G9" s="7">
        <f>SUMIFS(Clôtures!$E$5:$E$404,Clôtures!$I$5:$I$404,5,Clôtures!$A$5:$A$404,"&gt;="&amp;DATE(Paramètres!$B$4,1,1),Clôtures!$A$5:$A$404,"&lt;="&amp;DATE(Paramètres!$B$4,12,31))</f>
        <v/>
      </c>
      <c r="H9" s="7">
        <f>SUMIFS(Avances!$D$5:$D$304,Avances!$G$5:$G$304,5,Avances!$A$5:$A$304,"&gt;="&amp;DATE(Paramètres!$B$4,1,1),Avances!$A$5:$A$304,"&lt;="&amp;DATE(Paramètres!$B$4,12,31))</f>
        <v/>
      </c>
      <c r="I9" s="7">
        <f>SUMIFS(Caisse!$H$5:$H$604,Caisse!$D$5:$D$604,"Achat boissons",Caisse!$J$5:$J$604,5,Caisse!$A$5:$A$604,"&gt;="&amp;DATE(Paramètres!$B$4,1,1),Caisse!$A$5:$A$604,"&lt;="&amp;DATE(Paramètres!$B$4,12,31))</f>
        <v/>
      </c>
      <c r="J9" s="7">
        <f>SUMIFS(Caisse!$H$5:$H$604,Caisse!$D$5:$D$604,"Achat cuisine / denrées",Caisse!$J$5:$J$604,5,Caisse!$A$5:$A$604,"&gt;="&amp;DATE(Paramètres!$B$4,1,1),Caisse!$A$5:$A$604,"&lt;="&amp;DATE(Paramètres!$B$4,12,31))</f>
        <v/>
      </c>
      <c r="K9" s="7">
        <f>SUMIFS(Caisse!$H$5:$H$604,Caisse!$D$5:$D$604,"Salaire / avance",Caisse!$J$5:$J$604,5,Caisse!$A$5:$A$604,"&gt;="&amp;DATE(Paramètres!$B$4,1,1),Caisse!$A$5:$A$604,"&lt;="&amp;DATE(Paramètres!$B$4,12,31))</f>
        <v/>
      </c>
      <c r="L9" s="7">
        <f>SUMIFS(Caisse!$H$5:$H$604,Caisse!$D$5:$D$604,"Loyer",Caisse!$J$5:$J$604,5,Caisse!$A$5:$A$604,"&gt;="&amp;DATE(Paramètres!$B$4,1,1),Caisse!$A$5:$A$604,"&lt;="&amp;DATE(Paramètres!$B$4,12,31))</f>
        <v/>
      </c>
      <c r="M9" s="7">
        <f>SUMIFS(Caisse!$H$5:$H$604,Caisse!$D$5:$D$604,"Électricité / eau",Caisse!$J$5:$J$604,5,Caisse!$A$5:$A$604,"&gt;="&amp;DATE(Paramètres!$B$4,1,1),Caisse!$A$5:$A$604,"&lt;="&amp;DATE(Paramètres!$B$4,12,31))</f>
        <v/>
      </c>
      <c r="N9" s="7">
        <f>SUMIFS(Caisse!$H$5:$H$604,Caisse!$D$5:$D$604,"Transport",Caisse!$J$5:$J$604,5,Caisse!$A$5:$A$604,"&gt;="&amp;DATE(Paramètres!$B$4,1,1),Caisse!$A$5:$A$604,"&lt;="&amp;DATE(Paramètres!$B$4,12,31))</f>
        <v/>
      </c>
      <c r="O9" s="7">
        <f>SUMIFS(Caisse!$H$5:$H$604,Caisse!$D$5:$D$604,"Entretien / réparation",Caisse!$J$5:$J$604,5,Caisse!$A$5:$A$604,"&gt;="&amp;DATE(Paramètres!$B$4,1,1),Caisse!$A$5:$A$604,"&lt;="&amp;DATE(Paramètres!$B$4,12,31))</f>
        <v/>
      </c>
      <c r="P9" s="7">
        <f>SUMIFS(Caisse!$H$5:$H$604,Caisse!$D$5:$D$604,"Taxes / mairie",Caisse!$J$5:$J$604,5,Caisse!$A$5:$A$604,"&gt;="&amp;DATE(Paramètres!$B$4,1,1),Caisse!$A$5:$A$604,"&lt;="&amp;DATE(Paramètres!$B$4,12,31))</f>
        <v/>
      </c>
      <c r="Q9" s="7">
        <f>SUMIFS(Caisse!$H$5:$H$604,Caisse!$D$5:$D$604,"Autre dépense",Caisse!$J$5:$J$604,5,Caisse!$A$5:$A$604,"&gt;="&amp;DATE(Paramètres!$B$4,1,1),Caisse!$A$5:$A$604,"&lt;="&amp;DATE(Paramètres!$B$4,12,31))</f>
        <v/>
      </c>
    </row>
    <row r="10">
      <c r="A10" s="6" t="inlineStr">
        <is>
          <t>Juin</t>
        </is>
      </c>
      <c r="B10" s="7">
        <f>SUMIFS(Caisse!$G$5:$G$604,Caisse!$D$5:$D$604,"Ventes du jour",Caisse!$J$5:$J$604,6,Caisse!$A$5:$A$604,"&gt;="&amp;DATE(Paramètres!$B$4,1,1),Caisse!$A$5:$A$604,"&lt;="&amp;DATE(Paramètres!$B$4,12,31))</f>
        <v/>
      </c>
      <c r="C10" s="7">
        <f>SUMIFS(Caisse!$G$5:$G$604,Caisse!$J$5:$J$604,6,Caisse!$A$5:$A$604,"&gt;="&amp;DATE(Paramètres!$B$4,1,1),Caisse!$A$5:$A$604,"&lt;="&amp;DATE(Paramètres!$B$4,12,31))-B10</f>
        <v/>
      </c>
      <c r="D10" s="7">
        <f>SUMIFS(Caisse!$H$5:$H$604,Caisse!$J$5:$J$604,6,Caisse!$A$5:$A$604,"&gt;="&amp;DATE(Paramètres!$B$4,1,1),Caisse!$A$5:$A$604,"&lt;="&amp;DATE(Paramètres!$B$4,12,31))</f>
        <v/>
      </c>
      <c r="E10" s="7">
        <f>B10+C10-D10</f>
        <v/>
      </c>
      <c r="F10" s="8">
        <f>IF(B10=0,"",E10/B10)</f>
        <v/>
      </c>
      <c r="G10" s="7">
        <f>SUMIFS(Clôtures!$E$5:$E$404,Clôtures!$I$5:$I$404,6,Clôtures!$A$5:$A$404,"&gt;="&amp;DATE(Paramètres!$B$4,1,1),Clôtures!$A$5:$A$404,"&lt;="&amp;DATE(Paramètres!$B$4,12,31))</f>
        <v/>
      </c>
      <c r="H10" s="7">
        <f>SUMIFS(Avances!$D$5:$D$304,Avances!$G$5:$G$304,6,Avances!$A$5:$A$304,"&gt;="&amp;DATE(Paramètres!$B$4,1,1),Avances!$A$5:$A$304,"&lt;="&amp;DATE(Paramètres!$B$4,12,31))</f>
        <v/>
      </c>
      <c r="I10" s="7">
        <f>SUMIFS(Caisse!$H$5:$H$604,Caisse!$D$5:$D$604,"Achat boissons",Caisse!$J$5:$J$604,6,Caisse!$A$5:$A$604,"&gt;="&amp;DATE(Paramètres!$B$4,1,1),Caisse!$A$5:$A$604,"&lt;="&amp;DATE(Paramètres!$B$4,12,31))</f>
        <v/>
      </c>
      <c r="J10" s="7">
        <f>SUMIFS(Caisse!$H$5:$H$604,Caisse!$D$5:$D$604,"Achat cuisine / denrées",Caisse!$J$5:$J$604,6,Caisse!$A$5:$A$604,"&gt;="&amp;DATE(Paramètres!$B$4,1,1),Caisse!$A$5:$A$604,"&lt;="&amp;DATE(Paramètres!$B$4,12,31))</f>
        <v/>
      </c>
      <c r="K10" s="7">
        <f>SUMIFS(Caisse!$H$5:$H$604,Caisse!$D$5:$D$604,"Salaire / avance",Caisse!$J$5:$J$604,6,Caisse!$A$5:$A$604,"&gt;="&amp;DATE(Paramètres!$B$4,1,1),Caisse!$A$5:$A$604,"&lt;="&amp;DATE(Paramètres!$B$4,12,31))</f>
        <v/>
      </c>
      <c r="L10" s="7">
        <f>SUMIFS(Caisse!$H$5:$H$604,Caisse!$D$5:$D$604,"Loyer",Caisse!$J$5:$J$604,6,Caisse!$A$5:$A$604,"&gt;="&amp;DATE(Paramètres!$B$4,1,1),Caisse!$A$5:$A$604,"&lt;="&amp;DATE(Paramètres!$B$4,12,31))</f>
        <v/>
      </c>
      <c r="M10" s="7">
        <f>SUMIFS(Caisse!$H$5:$H$604,Caisse!$D$5:$D$604,"Électricité / eau",Caisse!$J$5:$J$604,6,Caisse!$A$5:$A$604,"&gt;="&amp;DATE(Paramètres!$B$4,1,1),Caisse!$A$5:$A$604,"&lt;="&amp;DATE(Paramètres!$B$4,12,31))</f>
        <v/>
      </c>
      <c r="N10" s="7">
        <f>SUMIFS(Caisse!$H$5:$H$604,Caisse!$D$5:$D$604,"Transport",Caisse!$J$5:$J$604,6,Caisse!$A$5:$A$604,"&gt;="&amp;DATE(Paramètres!$B$4,1,1),Caisse!$A$5:$A$604,"&lt;="&amp;DATE(Paramètres!$B$4,12,31))</f>
        <v/>
      </c>
      <c r="O10" s="7">
        <f>SUMIFS(Caisse!$H$5:$H$604,Caisse!$D$5:$D$604,"Entretien / réparation",Caisse!$J$5:$J$604,6,Caisse!$A$5:$A$604,"&gt;="&amp;DATE(Paramètres!$B$4,1,1),Caisse!$A$5:$A$604,"&lt;="&amp;DATE(Paramètres!$B$4,12,31))</f>
        <v/>
      </c>
      <c r="P10" s="7">
        <f>SUMIFS(Caisse!$H$5:$H$604,Caisse!$D$5:$D$604,"Taxes / mairie",Caisse!$J$5:$J$604,6,Caisse!$A$5:$A$604,"&gt;="&amp;DATE(Paramètres!$B$4,1,1),Caisse!$A$5:$A$604,"&lt;="&amp;DATE(Paramètres!$B$4,12,31))</f>
        <v/>
      </c>
      <c r="Q10" s="7">
        <f>SUMIFS(Caisse!$H$5:$H$604,Caisse!$D$5:$D$604,"Autre dépense",Caisse!$J$5:$J$604,6,Caisse!$A$5:$A$604,"&gt;="&amp;DATE(Paramètres!$B$4,1,1),Caisse!$A$5:$A$604,"&lt;="&amp;DATE(Paramètres!$B$4,12,31))</f>
        <v/>
      </c>
    </row>
    <row r="11">
      <c r="A11" s="6" t="inlineStr">
        <is>
          <t>Juillet</t>
        </is>
      </c>
      <c r="B11" s="7">
        <f>SUMIFS(Caisse!$G$5:$G$604,Caisse!$D$5:$D$604,"Ventes du jour",Caisse!$J$5:$J$604,7,Caisse!$A$5:$A$604,"&gt;="&amp;DATE(Paramètres!$B$4,1,1),Caisse!$A$5:$A$604,"&lt;="&amp;DATE(Paramètres!$B$4,12,31))</f>
        <v/>
      </c>
      <c r="C11" s="7">
        <f>SUMIFS(Caisse!$G$5:$G$604,Caisse!$J$5:$J$604,7,Caisse!$A$5:$A$604,"&gt;="&amp;DATE(Paramètres!$B$4,1,1),Caisse!$A$5:$A$604,"&lt;="&amp;DATE(Paramètres!$B$4,12,31))-B11</f>
        <v/>
      </c>
      <c r="D11" s="7">
        <f>SUMIFS(Caisse!$H$5:$H$604,Caisse!$J$5:$J$604,7,Caisse!$A$5:$A$604,"&gt;="&amp;DATE(Paramètres!$B$4,1,1),Caisse!$A$5:$A$604,"&lt;="&amp;DATE(Paramètres!$B$4,12,31))</f>
        <v/>
      </c>
      <c r="E11" s="7">
        <f>B11+C11-D11</f>
        <v/>
      </c>
      <c r="F11" s="8">
        <f>IF(B11=0,"",E11/B11)</f>
        <v/>
      </c>
      <c r="G11" s="7">
        <f>SUMIFS(Clôtures!$E$5:$E$404,Clôtures!$I$5:$I$404,7,Clôtures!$A$5:$A$404,"&gt;="&amp;DATE(Paramètres!$B$4,1,1),Clôtures!$A$5:$A$404,"&lt;="&amp;DATE(Paramètres!$B$4,12,31))</f>
        <v/>
      </c>
      <c r="H11" s="7">
        <f>SUMIFS(Avances!$D$5:$D$304,Avances!$G$5:$G$304,7,Avances!$A$5:$A$304,"&gt;="&amp;DATE(Paramètres!$B$4,1,1),Avances!$A$5:$A$304,"&lt;="&amp;DATE(Paramètres!$B$4,12,31))</f>
        <v/>
      </c>
      <c r="I11" s="7">
        <f>SUMIFS(Caisse!$H$5:$H$604,Caisse!$D$5:$D$604,"Achat boissons",Caisse!$J$5:$J$604,7,Caisse!$A$5:$A$604,"&gt;="&amp;DATE(Paramètres!$B$4,1,1),Caisse!$A$5:$A$604,"&lt;="&amp;DATE(Paramètres!$B$4,12,31))</f>
        <v/>
      </c>
      <c r="J11" s="7">
        <f>SUMIFS(Caisse!$H$5:$H$604,Caisse!$D$5:$D$604,"Achat cuisine / denrées",Caisse!$J$5:$J$604,7,Caisse!$A$5:$A$604,"&gt;="&amp;DATE(Paramètres!$B$4,1,1),Caisse!$A$5:$A$604,"&lt;="&amp;DATE(Paramètres!$B$4,12,31))</f>
        <v/>
      </c>
      <c r="K11" s="7">
        <f>SUMIFS(Caisse!$H$5:$H$604,Caisse!$D$5:$D$604,"Salaire / avance",Caisse!$J$5:$J$604,7,Caisse!$A$5:$A$604,"&gt;="&amp;DATE(Paramètres!$B$4,1,1),Caisse!$A$5:$A$604,"&lt;="&amp;DATE(Paramètres!$B$4,12,31))</f>
        <v/>
      </c>
      <c r="L11" s="7">
        <f>SUMIFS(Caisse!$H$5:$H$604,Caisse!$D$5:$D$604,"Loyer",Caisse!$J$5:$J$604,7,Caisse!$A$5:$A$604,"&gt;="&amp;DATE(Paramètres!$B$4,1,1),Caisse!$A$5:$A$604,"&lt;="&amp;DATE(Paramètres!$B$4,12,31))</f>
        <v/>
      </c>
      <c r="M11" s="7">
        <f>SUMIFS(Caisse!$H$5:$H$604,Caisse!$D$5:$D$604,"Électricité / eau",Caisse!$J$5:$J$604,7,Caisse!$A$5:$A$604,"&gt;="&amp;DATE(Paramètres!$B$4,1,1),Caisse!$A$5:$A$604,"&lt;="&amp;DATE(Paramètres!$B$4,12,31))</f>
        <v/>
      </c>
      <c r="N11" s="7">
        <f>SUMIFS(Caisse!$H$5:$H$604,Caisse!$D$5:$D$604,"Transport",Caisse!$J$5:$J$604,7,Caisse!$A$5:$A$604,"&gt;="&amp;DATE(Paramètres!$B$4,1,1),Caisse!$A$5:$A$604,"&lt;="&amp;DATE(Paramètres!$B$4,12,31))</f>
        <v/>
      </c>
      <c r="O11" s="7">
        <f>SUMIFS(Caisse!$H$5:$H$604,Caisse!$D$5:$D$604,"Entretien / réparation",Caisse!$J$5:$J$604,7,Caisse!$A$5:$A$604,"&gt;="&amp;DATE(Paramètres!$B$4,1,1),Caisse!$A$5:$A$604,"&lt;="&amp;DATE(Paramètres!$B$4,12,31))</f>
        <v/>
      </c>
      <c r="P11" s="7">
        <f>SUMIFS(Caisse!$H$5:$H$604,Caisse!$D$5:$D$604,"Taxes / mairie",Caisse!$J$5:$J$604,7,Caisse!$A$5:$A$604,"&gt;="&amp;DATE(Paramètres!$B$4,1,1),Caisse!$A$5:$A$604,"&lt;="&amp;DATE(Paramètres!$B$4,12,31))</f>
        <v/>
      </c>
      <c r="Q11" s="7">
        <f>SUMIFS(Caisse!$H$5:$H$604,Caisse!$D$5:$D$604,"Autre dépense",Caisse!$J$5:$J$604,7,Caisse!$A$5:$A$604,"&gt;="&amp;DATE(Paramètres!$B$4,1,1),Caisse!$A$5:$A$604,"&lt;="&amp;DATE(Paramètres!$B$4,12,31))</f>
        <v/>
      </c>
    </row>
    <row r="12">
      <c r="A12" s="6" t="inlineStr">
        <is>
          <t>Août</t>
        </is>
      </c>
      <c r="B12" s="7">
        <f>SUMIFS(Caisse!$G$5:$G$604,Caisse!$D$5:$D$604,"Ventes du jour",Caisse!$J$5:$J$604,8,Caisse!$A$5:$A$604,"&gt;="&amp;DATE(Paramètres!$B$4,1,1),Caisse!$A$5:$A$604,"&lt;="&amp;DATE(Paramètres!$B$4,12,31))</f>
        <v/>
      </c>
      <c r="C12" s="7">
        <f>SUMIFS(Caisse!$G$5:$G$604,Caisse!$J$5:$J$604,8,Caisse!$A$5:$A$604,"&gt;="&amp;DATE(Paramètres!$B$4,1,1),Caisse!$A$5:$A$604,"&lt;="&amp;DATE(Paramètres!$B$4,12,31))-B12</f>
        <v/>
      </c>
      <c r="D12" s="7">
        <f>SUMIFS(Caisse!$H$5:$H$604,Caisse!$J$5:$J$604,8,Caisse!$A$5:$A$604,"&gt;="&amp;DATE(Paramètres!$B$4,1,1),Caisse!$A$5:$A$604,"&lt;="&amp;DATE(Paramètres!$B$4,12,31))</f>
        <v/>
      </c>
      <c r="E12" s="7">
        <f>B12+C12-D12</f>
        <v/>
      </c>
      <c r="F12" s="8">
        <f>IF(B12=0,"",E12/B12)</f>
        <v/>
      </c>
      <c r="G12" s="7">
        <f>SUMIFS(Clôtures!$E$5:$E$404,Clôtures!$I$5:$I$404,8,Clôtures!$A$5:$A$404,"&gt;="&amp;DATE(Paramètres!$B$4,1,1),Clôtures!$A$5:$A$404,"&lt;="&amp;DATE(Paramètres!$B$4,12,31))</f>
        <v/>
      </c>
      <c r="H12" s="7">
        <f>SUMIFS(Avances!$D$5:$D$304,Avances!$G$5:$G$304,8,Avances!$A$5:$A$304,"&gt;="&amp;DATE(Paramètres!$B$4,1,1),Avances!$A$5:$A$304,"&lt;="&amp;DATE(Paramètres!$B$4,12,31))</f>
        <v/>
      </c>
      <c r="I12" s="7">
        <f>SUMIFS(Caisse!$H$5:$H$604,Caisse!$D$5:$D$604,"Achat boissons",Caisse!$J$5:$J$604,8,Caisse!$A$5:$A$604,"&gt;="&amp;DATE(Paramètres!$B$4,1,1),Caisse!$A$5:$A$604,"&lt;="&amp;DATE(Paramètres!$B$4,12,31))</f>
        <v/>
      </c>
      <c r="J12" s="7">
        <f>SUMIFS(Caisse!$H$5:$H$604,Caisse!$D$5:$D$604,"Achat cuisine / denrées",Caisse!$J$5:$J$604,8,Caisse!$A$5:$A$604,"&gt;="&amp;DATE(Paramètres!$B$4,1,1),Caisse!$A$5:$A$604,"&lt;="&amp;DATE(Paramètres!$B$4,12,31))</f>
        <v/>
      </c>
      <c r="K12" s="7">
        <f>SUMIFS(Caisse!$H$5:$H$604,Caisse!$D$5:$D$604,"Salaire / avance",Caisse!$J$5:$J$604,8,Caisse!$A$5:$A$604,"&gt;="&amp;DATE(Paramètres!$B$4,1,1),Caisse!$A$5:$A$604,"&lt;="&amp;DATE(Paramètres!$B$4,12,31))</f>
        <v/>
      </c>
      <c r="L12" s="7">
        <f>SUMIFS(Caisse!$H$5:$H$604,Caisse!$D$5:$D$604,"Loyer",Caisse!$J$5:$J$604,8,Caisse!$A$5:$A$604,"&gt;="&amp;DATE(Paramètres!$B$4,1,1),Caisse!$A$5:$A$604,"&lt;="&amp;DATE(Paramètres!$B$4,12,31))</f>
        <v/>
      </c>
      <c r="M12" s="7">
        <f>SUMIFS(Caisse!$H$5:$H$604,Caisse!$D$5:$D$604,"Électricité / eau",Caisse!$J$5:$J$604,8,Caisse!$A$5:$A$604,"&gt;="&amp;DATE(Paramètres!$B$4,1,1),Caisse!$A$5:$A$604,"&lt;="&amp;DATE(Paramètres!$B$4,12,31))</f>
        <v/>
      </c>
      <c r="N12" s="7">
        <f>SUMIFS(Caisse!$H$5:$H$604,Caisse!$D$5:$D$604,"Transport",Caisse!$J$5:$J$604,8,Caisse!$A$5:$A$604,"&gt;="&amp;DATE(Paramètres!$B$4,1,1),Caisse!$A$5:$A$604,"&lt;="&amp;DATE(Paramètres!$B$4,12,31))</f>
        <v/>
      </c>
      <c r="O12" s="7">
        <f>SUMIFS(Caisse!$H$5:$H$604,Caisse!$D$5:$D$604,"Entretien / réparation",Caisse!$J$5:$J$604,8,Caisse!$A$5:$A$604,"&gt;="&amp;DATE(Paramètres!$B$4,1,1),Caisse!$A$5:$A$604,"&lt;="&amp;DATE(Paramètres!$B$4,12,31))</f>
        <v/>
      </c>
      <c r="P12" s="7">
        <f>SUMIFS(Caisse!$H$5:$H$604,Caisse!$D$5:$D$604,"Taxes / mairie",Caisse!$J$5:$J$604,8,Caisse!$A$5:$A$604,"&gt;="&amp;DATE(Paramètres!$B$4,1,1),Caisse!$A$5:$A$604,"&lt;="&amp;DATE(Paramètres!$B$4,12,31))</f>
        <v/>
      </c>
      <c r="Q12" s="7">
        <f>SUMIFS(Caisse!$H$5:$H$604,Caisse!$D$5:$D$604,"Autre dépense",Caisse!$J$5:$J$604,8,Caisse!$A$5:$A$604,"&gt;="&amp;DATE(Paramètres!$B$4,1,1),Caisse!$A$5:$A$604,"&lt;="&amp;DATE(Paramètres!$B$4,12,31))</f>
        <v/>
      </c>
    </row>
    <row r="13">
      <c r="A13" s="6" t="inlineStr">
        <is>
          <t>Septembre</t>
        </is>
      </c>
      <c r="B13" s="7">
        <f>SUMIFS(Caisse!$G$5:$G$604,Caisse!$D$5:$D$604,"Ventes du jour",Caisse!$J$5:$J$604,9,Caisse!$A$5:$A$604,"&gt;="&amp;DATE(Paramètres!$B$4,1,1),Caisse!$A$5:$A$604,"&lt;="&amp;DATE(Paramètres!$B$4,12,31))</f>
        <v/>
      </c>
      <c r="C13" s="7">
        <f>SUMIFS(Caisse!$G$5:$G$604,Caisse!$J$5:$J$604,9,Caisse!$A$5:$A$604,"&gt;="&amp;DATE(Paramètres!$B$4,1,1),Caisse!$A$5:$A$604,"&lt;="&amp;DATE(Paramètres!$B$4,12,31))-B13</f>
        <v/>
      </c>
      <c r="D13" s="7">
        <f>SUMIFS(Caisse!$H$5:$H$604,Caisse!$J$5:$J$604,9,Caisse!$A$5:$A$604,"&gt;="&amp;DATE(Paramètres!$B$4,1,1),Caisse!$A$5:$A$604,"&lt;="&amp;DATE(Paramètres!$B$4,12,31))</f>
        <v/>
      </c>
      <c r="E13" s="7">
        <f>B13+C13-D13</f>
        <v/>
      </c>
      <c r="F13" s="8">
        <f>IF(B13=0,"",E13/B13)</f>
        <v/>
      </c>
      <c r="G13" s="7">
        <f>SUMIFS(Clôtures!$E$5:$E$404,Clôtures!$I$5:$I$404,9,Clôtures!$A$5:$A$404,"&gt;="&amp;DATE(Paramètres!$B$4,1,1),Clôtures!$A$5:$A$404,"&lt;="&amp;DATE(Paramètres!$B$4,12,31))</f>
        <v/>
      </c>
      <c r="H13" s="7">
        <f>SUMIFS(Avances!$D$5:$D$304,Avances!$G$5:$G$304,9,Avances!$A$5:$A$304,"&gt;="&amp;DATE(Paramètres!$B$4,1,1),Avances!$A$5:$A$304,"&lt;="&amp;DATE(Paramètres!$B$4,12,31))</f>
        <v/>
      </c>
      <c r="I13" s="7">
        <f>SUMIFS(Caisse!$H$5:$H$604,Caisse!$D$5:$D$604,"Achat boissons",Caisse!$J$5:$J$604,9,Caisse!$A$5:$A$604,"&gt;="&amp;DATE(Paramètres!$B$4,1,1),Caisse!$A$5:$A$604,"&lt;="&amp;DATE(Paramètres!$B$4,12,31))</f>
        <v/>
      </c>
      <c r="J13" s="7">
        <f>SUMIFS(Caisse!$H$5:$H$604,Caisse!$D$5:$D$604,"Achat cuisine / denrées",Caisse!$J$5:$J$604,9,Caisse!$A$5:$A$604,"&gt;="&amp;DATE(Paramètres!$B$4,1,1),Caisse!$A$5:$A$604,"&lt;="&amp;DATE(Paramètres!$B$4,12,31))</f>
        <v/>
      </c>
      <c r="K13" s="7">
        <f>SUMIFS(Caisse!$H$5:$H$604,Caisse!$D$5:$D$604,"Salaire / avance",Caisse!$J$5:$J$604,9,Caisse!$A$5:$A$604,"&gt;="&amp;DATE(Paramètres!$B$4,1,1),Caisse!$A$5:$A$604,"&lt;="&amp;DATE(Paramètres!$B$4,12,31))</f>
        <v/>
      </c>
      <c r="L13" s="7">
        <f>SUMIFS(Caisse!$H$5:$H$604,Caisse!$D$5:$D$604,"Loyer",Caisse!$J$5:$J$604,9,Caisse!$A$5:$A$604,"&gt;="&amp;DATE(Paramètres!$B$4,1,1),Caisse!$A$5:$A$604,"&lt;="&amp;DATE(Paramètres!$B$4,12,31))</f>
        <v/>
      </c>
      <c r="M13" s="7">
        <f>SUMIFS(Caisse!$H$5:$H$604,Caisse!$D$5:$D$604,"Électricité / eau",Caisse!$J$5:$J$604,9,Caisse!$A$5:$A$604,"&gt;="&amp;DATE(Paramètres!$B$4,1,1),Caisse!$A$5:$A$604,"&lt;="&amp;DATE(Paramètres!$B$4,12,31))</f>
        <v/>
      </c>
      <c r="N13" s="7">
        <f>SUMIFS(Caisse!$H$5:$H$604,Caisse!$D$5:$D$604,"Transport",Caisse!$J$5:$J$604,9,Caisse!$A$5:$A$604,"&gt;="&amp;DATE(Paramètres!$B$4,1,1),Caisse!$A$5:$A$604,"&lt;="&amp;DATE(Paramètres!$B$4,12,31))</f>
        <v/>
      </c>
      <c r="O13" s="7">
        <f>SUMIFS(Caisse!$H$5:$H$604,Caisse!$D$5:$D$604,"Entretien / réparation",Caisse!$J$5:$J$604,9,Caisse!$A$5:$A$604,"&gt;="&amp;DATE(Paramètres!$B$4,1,1),Caisse!$A$5:$A$604,"&lt;="&amp;DATE(Paramètres!$B$4,12,31))</f>
        <v/>
      </c>
      <c r="P13" s="7">
        <f>SUMIFS(Caisse!$H$5:$H$604,Caisse!$D$5:$D$604,"Taxes / mairie",Caisse!$J$5:$J$604,9,Caisse!$A$5:$A$604,"&gt;="&amp;DATE(Paramètres!$B$4,1,1),Caisse!$A$5:$A$604,"&lt;="&amp;DATE(Paramètres!$B$4,12,31))</f>
        <v/>
      </c>
      <c r="Q13" s="7">
        <f>SUMIFS(Caisse!$H$5:$H$604,Caisse!$D$5:$D$604,"Autre dépense",Caisse!$J$5:$J$604,9,Caisse!$A$5:$A$604,"&gt;="&amp;DATE(Paramètres!$B$4,1,1),Caisse!$A$5:$A$604,"&lt;="&amp;DATE(Paramètres!$B$4,12,31))</f>
        <v/>
      </c>
    </row>
    <row r="14">
      <c r="A14" s="6" t="inlineStr">
        <is>
          <t>Octobre</t>
        </is>
      </c>
      <c r="B14" s="7">
        <f>SUMIFS(Caisse!$G$5:$G$604,Caisse!$D$5:$D$604,"Ventes du jour",Caisse!$J$5:$J$604,10,Caisse!$A$5:$A$604,"&gt;="&amp;DATE(Paramètres!$B$4,1,1),Caisse!$A$5:$A$604,"&lt;="&amp;DATE(Paramètres!$B$4,12,31))</f>
        <v/>
      </c>
      <c r="C14" s="7">
        <f>SUMIFS(Caisse!$G$5:$G$604,Caisse!$J$5:$J$604,10,Caisse!$A$5:$A$604,"&gt;="&amp;DATE(Paramètres!$B$4,1,1),Caisse!$A$5:$A$604,"&lt;="&amp;DATE(Paramètres!$B$4,12,31))-B14</f>
        <v/>
      </c>
      <c r="D14" s="7">
        <f>SUMIFS(Caisse!$H$5:$H$604,Caisse!$J$5:$J$604,10,Caisse!$A$5:$A$604,"&gt;="&amp;DATE(Paramètres!$B$4,1,1),Caisse!$A$5:$A$604,"&lt;="&amp;DATE(Paramètres!$B$4,12,31))</f>
        <v/>
      </c>
      <c r="E14" s="7">
        <f>B14+C14-D14</f>
        <v/>
      </c>
      <c r="F14" s="8">
        <f>IF(B14=0,"",E14/B14)</f>
        <v/>
      </c>
      <c r="G14" s="7">
        <f>SUMIFS(Clôtures!$E$5:$E$404,Clôtures!$I$5:$I$404,10,Clôtures!$A$5:$A$404,"&gt;="&amp;DATE(Paramètres!$B$4,1,1),Clôtures!$A$5:$A$404,"&lt;="&amp;DATE(Paramètres!$B$4,12,31))</f>
        <v/>
      </c>
      <c r="H14" s="7">
        <f>SUMIFS(Avances!$D$5:$D$304,Avances!$G$5:$G$304,10,Avances!$A$5:$A$304,"&gt;="&amp;DATE(Paramètres!$B$4,1,1),Avances!$A$5:$A$304,"&lt;="&amp;DATE(Paramètres!$B$4,12,31))</f>
        <v/>
      </c>
      <c r="I14" s="7">
        <f>SUMIFS(Caisse!$H$5:$H$604,Caisse!$D$5:$D$604,"Achat boissons",Caisse!$J$5:$J$604,10,Caisse!$A$5:$A$604,"&gt;="&amp;DATE(Paramètres!$B$4,1,1),Caisse!$A$5:$A$604,"&lt;="&amp;DATE(Paramètres!$B$4,12,31))</f>
        <v/>
      </c>
      <c r="J14" s="7">
        <f>SUMIFS(Caisse!$H$5:$H$604,Caisse!$D$5:$D$604,"Achat cuisine / denrées",Caisse!$J$5:$J$604,10,Caisse!$A$5:$A$604,"&gt;="&amp;DATE(Paramètres!$B$4,1,1),Caisse!$A$5:$A$604,"&lt;="&amp;DATE(Paramètres!$B$4,12,31))</f>
        <v/>
      </c>
      <c r="K14" s="7">
        <f>SUMIFS(Caisse!$H$5:$H$604,Caisse!$D$5:$D$604,"Salaire / avance",Caisse!$J$5:$J$604,10,Caisse!$A$5:$A$604,"&gt;="&amp;DATE(Paramètres!$B$4,1,1),Caisse!$A$5:$A$604,"&lt;="&amp;DATE(Paramètres!$B$4,12,31))</f>
        <v/>
      </c>
      <c r="L14" s="7">
        <f>SUMIFS(Caisse!$H$5:$H$604,Caisse!$D$5:$D$604,"Loyer",Caisse!$J$5:$J$604,10,Caisse!$A$5:$A$604,"&gt;="&amp;DATE(Paramètres!$B$4,1,1),Caisse!$A$5:$A$604,"&lt;="&amp;DATE(Paramètres!$B$4,12,31))</f>
        <v/>
      </c>
      <c r="M14" s="7">
        <f>SUMIFS(Caisse!$H$5:$H$604,Caisse!$D$5:$D$604,"Électricité / eau",Caisse!$J$5:$J$604,10,Caisse!$A$5:$A$604,"&gt;="&amp;DATE(Paramètres!$B$4,1,1),Caisse!$A$5:$A$604,"&lt;="&amp;DATE(Paramètres!$B$4,12,31))</f>
        <v/>
      </c>
      <c r="N14" s="7">
        <f>SUMIFS(Caisse!$H$5:$H$604,Caisse!$D$5:$D$604,"Transport",Caisse!$J$5:$J$604,10,Caisse!$A$5:$A$604,"&gt;="&amp;DATE(Paramètres!$B$4,1,1),Caisse!$A$5:$A$604,"&lt;="&amp;DATE(Paramètres!$B$4,12,31))</f>
        <v/>
      </c>
      <c r="O14" s="7">
        <f>SUMIFS(Caisse!$H$5:$H$604,Caisse!$D$5:$D$604,"Entretien / réparation",Caisse!$J$5:$J$604,10,Caisse!$A$5:$A$604,"&gt;="&amp;DATE(Paramètres!$B$4,1,1),Caisse!$A$5:$A$604,"&lt;="&amp;DATE(Paramètres!$B$4,12,31))</f>
        <v/>
      </c>
      <c r="P14" s="7">
        <f>SUMIFS(Caisse!$H$5:$H$604,Caisse!$D$5:$D$604,"Taxes / mairie",Caisse!$J$5:$J$604,10,Caisse!$A$5:$A$604,"&gt;="&amp;DATE(Paramètres!$B$4,1,1),Caisse!$A$5:$A$604,"&lt;="&amp;DATE(Paramètres!$B$4,12,31))</f>
        <v/>
      </c>
      <c r="Q14" s="7">
        <f>SUMIFS(Caisse!$H$5:$H$604,Caisse!$D$5:$D$604,"Autre dépense",Caisse!$J$5:$J$604,10,Caisse!$A$5:$A$604,"&gt;="&amp;DATE(Paramètres!$B$4,1,1),Caisse!$A$5:$A$604,"&lt;="&amp;DATE(Paramètres!$B$4,12,31))</f>
        <v/>
      </c>
    </row>
    <row r="15">
      <c r="A15" s="6" t="inlineStr">
        <is>
          <t>Novembre</t>
        </is>
      </c>
      <c r="B15" s="7">
        <f>SUMIFS(Caisse!$G$5:$G$604,Caisse!$D$5:$D$604,"Ventes du jour",Caisse!$J$5:$J$604,11,Caisse!$A$5:$A$604,"&gt;="&amp;DATE(Paramètres!$B$4,1,1),Caisse!$A$5:$A$604,"&lt;="&amp;DATE(Paramètres!$B$4,12,31))</f>
        <v/>
      </c>
      <c r="C15" s="7">
        <f>SUMIFS(Caisse!$G$5:$G$604,Caisse!$J$5:$J$604,11,Caisse!$A$5:$A$604,"&gt;="&amp;DATE(Paramètres!$B$4,1,1),Caisse!$A$5:$A$604,"&lt;="&amp;DATE(Paramètres!$B$4,12,31))-B15</f>
        <v/>
      </c>
      <c r="D15" s="7">
        <f>SUMIFS(Caisse!$H$5:$H$604,Caisse!$J$5:$J$604,11,Caisse!$A$5:$A$604,"&gt;="&amp;DATE(Paramètres!$B$4,1,1),Caisse!$A$5:$A$604,"&lt;="&amp;DATE(Paramètres!$B$4,12,31))</f>
        <v/>
      </c>
      <c r="E15" s="7">
        <f>B15+C15-D15</f>
        <v/>
      </c>
      <c r="F15" s="8">
        <f>IF(B15=0,"",E15/B15)</f>
        <v/>
      </c>
      <c r="G15" s="7">
        <f>SUMIFS(Clôtures!$E$5:$E$404,Clôtures!$I$5:$I$404,11,Clôtures!$A$5:$A$404,"&gt;="&amp;DATE(Paramètres!$B$4,1,1),Clôtures!$A$5:$A$404,"&lt;="&amp;DATE(Paramètres!$B$4,12,31))</f>
        <v/>
      </c>
      <c r="H15" s="7">
        <f>SUMIFS(Avances!$D$5:$D$304,Avances!$G$5:$G$304,11,Avances!$A$5:$A$304,"&gt;="&amp;DATE(Paramètres!$B$4,1,1),Avances!$A$5:$A$304,"&lt;="&amp;DATE(Paramètres!$B$4,12,31))</f>
        <v/>
      </c>
      <c r="I15" s="7">
        <f>SUMIFS(Caisse!$H$5:$H$604,Caisse!$D$5:$D$604,"Achat boissons",Caisse!$J$5:$J$604,11,Caisse!$A$5:$A$604,"&gt;="&amp;DATE(Paramètres!$B$4,1,1),Caisse!$A$5:$A$604,"&lt;="&amp;DATE(Paramètres!$B$4,12,31))</f>
        <v/>
      </c>
      <c r="J15" s="7">
        <f>SUMIFS(Caisse!$H$5:$H$604,Caisse!$D$5:$D$604,"Achat cuisine / denrées",Caisse!$J$5:$J$604,11,Caisse!$A$5:$A$604,"&gt;="&amp;DATE(Paramètres!$B$4,1,1),Caisse!$A$5:$A$604,"&lt;="&amp;DATE(Paramètres!$B$4,12,31))</f>
        <v/>
      </c>
      <c r="K15" s="7">
        <f>SUMIFS(Caisse!$H$5:$H$604,Caisse!$D$5:$D$604,"Salaire / avance",Caisse!$J$5:$J$604,11,Caisse!$A$5:$A$604,"&gt;="&amp;DATE(Paramètres!$B$4,1,1),Caisse!$A$5:$A$604,"&lt;="&amp;DATE(Paramètres!$B$4,12,31))</f>
        <v/>
      </c>
      <c r="L15" s="7">
        <f>SUMIFS(Caisse!$H$5:$H$604,Caisse!$D$5:$D$604,"Loyer",Caisse!$J$5:$J$604,11,Caisse!$A$5:$A$604,"&gt;="&amp;DATE(Paramètres!$B$4,1,1),Caisse!$A$5:$A$604,"&lt;="&amp;DATE(Paramètres!$B$4,12,31))</f>
        <v/>
      </c>
      <c r="M15" s="7">
        <f>SUMIFS(Caisse!$H$5:$H$604,Caisse!$D$5:$D$604,"Électricité / eau",Caisse!$J$5:$J$604,11,Caisse!$A$5:$A$604,"&gt;="&amp;DATE(Paramètres!$B$4,1,1),Caisse!$A$5:$A$604,"&lt;="&amp;DATE(Paramètres!$B$4,12,31))</f>
        <v/>
      </c>
      <c r="N15" s="7">
        <f>SUMIFS(Caisse!$H$5:$H$604,Caisse!$D$5:$D$604,"Transport",Caisse!$J$5:$J$604,11,Caisse!$A$5:$A$604,"&gt;="&amp;DATE(Paramètres!$B$4,1,1),Caisse!$A$5:$A$604,"&lt;="&amp;DATE(Paramètres!$B$4,12,31))</f>
        <v/>
      </c>
      <c r="O15" s="7">
        <f>SUMIFS(Caisse!$H$5:$H$604,Caisse!$D$5:$D$604,"Entretien / réparation",Caisse!$J$5:$J$604,11,Caisse!$A$5:$A$604,"&gt;="&amp;DATE(Paramètres!$B$4,1,1),Caisse!$A$5:$A$604,"&lt;="&amp;DATE(Paramètres!$B$4,12,31))</f>
        <v/>
      </c>
      <c r="P15" s="7">
        <f>SUMIFS(Caisse!$H$5:$H$604,Caisse!$D$5:$D$604,"Taxes / mairie",Caisse!$J$5:$J$604,11,Caisse!$A$5:$A$604,"&gt;="&amp;DATE(Paramètres!$B$4,1,1),Caisse!$A$5:$A$604,"&lt;="&amp;DATE(Paramètres!$B$4,12,31))</f>
        <v/>
      </c>
      <c r="Q15" s="7">
        <f>SUMIFS(Caisse!$H$5:$H$604,Caisse!$D$5:$D$604,"Autre dépense",Caisse!$J$5:$J$604,11,Caisse!$A$5:$A$604,"&gt;="&amp;DATE(Paramètres!$B$4,1,1),Caisse!$A$5:$A$604,"&lt;="&amp;DATE(Paramètres!$B$4,12,31))</f>
        <v/>
      </c>
    </row>
    <row r="16">
      <c r="A16" s="6" t="inlineStr">
        <is>
          <t>Décembre</t>
        </is>
      </c>
      <c r="B16" s="7">
        <f>SUMIFS(Caisse!$G$5:$G$604,Caisse!$D$5:$D$604,"Ventes du jour",Caisse!$J$5:$J$604,12,Caisse!$A$5:$A$604,"&gt;="&amp;DATE(Paramètres!$B$4,1,1),Caisse!$A$5:$A$604,"&lt;="&amp;DATE(Paramètres!$B$4,12,31))</f>
        <v/>
      </c>
      <c r="C16" s="7">
        <f>SUMIFS(Caisse!$G$5:$G$604,Caisse!$J$5:$J$604,12,Caisse!$A$5:$A$604,"&gt;="&amp;DATE(Paramètres!$B$4,1,1),Caisse!$A$5:$A$604,"&lt;="&amp;DATE(Paramètres!$B$4,12,31))-B16</f>
        <v/>
      </c>
      <c r="D16" s="7">
        <f>SUMIFS(Caisse!$H$5:$H$604,Caisse!$J$5:$J$604,12,Caisse!$A$5:$A$604,"&gt;="&amp;DATE(Paramètres!$B$4,1,1),Caisse!$A$5:$A$604,"&lt;="&amp;DATE(Paramètres!$B$4,12,31))</f>
        <v/>
      </c>
      <c r="E16" s="7">
        <f>B16+C16-D16</f>
        <v/>
      </c>
      <c r="F16" s="8">
        <f>IF(B16=0,"",E16/B16)</f>
        <v/>
      </c>
      <c r="G16" s="7">
        <f>SUMIFS(Clôtures!$E$5:$E$404,Clôtures!$I$5:$I$404,12,Clôtures!$A$5:$A$404,"&gt;="&amp;DATE(Paramètres!$B$4,1,1),Clôtures!$A$5:$A$404,"&lt;="&amp;DATE(Paramètres!$B$4,12,31))</f>
        <v/>
      </c>
      <c r="H16" s="7">
        <f>SUMIFS(Avances!$D$5:$D$304,Avances!$G$5:$G$304,12,Avances!$A$5:$A$304,"&gt;="&amp;DATE(Paramètres!$B$4,1,1),Avances!$A$5:$A$304,"&lt;="&amp;DATE(Paramètres!$B$4,12,31))</f>
        <v/>
      </c>
      <c r="I16" s="7">
        <f>SUMIFS(Caisse!$H$5:$H$604,Caisse!$D$5:$D$604,"Achat boissons",Caisse!$J$5:$J$604,12,Caisse!$A$5:$A$604,"&gt;="&amp;DATE(Paramètres!$B$4,1,1),Caisse!$A$5:$A$604,"&lt;="&amp;DATE(Paramètres!$B$4,12,31))</f>
        <v/>
      </c>
      <c r="J16" s="7">
        <f>SUMIFS(Caisse!$H$5:$H$604,Caisse!$D$5:$D$604,"Achat cuisine / denrées",Caisse!$J$5:$J$604,12,Caisse!$A$5:$A$604,"&gt;="&amp;DATE(Paramètres!$B$4,1,1),Caisse!$A$5:$A$604,"&lt;="&amp;DATE(Paramètres!$B$4,12,31))</f>
        <v/>
      </c>
      <c r="K16" s="7">
        <f>SUMIFS(Caisse!$H$5:$H$604,Caisse!$D$5:$D$604,"Salaire / avance",Caisse!$J$5:$J$604,12,Caisse!$A$5:$A$604,"&gt;="&amp;DATE(Paramètres!$B$4,1,1),Caisse!$A$5:$A$604,"&lt;="&amp;DATE(Paramètres!$B$4,12,31))</f>
        <v/>
      </c>
      <c r="L16" s="7">
        <f>SUMIFS(Caisse!$H$5:$H$604,Caisse!$D$5:$D$604,"Loyer",Caisse!$J$5:$J$604,12,Caisse!$A$5:$A$604,"&gt;="&amp;DATE(Paramètres!$B$4,1,1),Caisse!$A$5:$A$604,"&lt;="&amp;DATE(Paramètres!$B$4,12,31))</f>
        <v/>
      </c>
      <c r="M16" s="7">
        <f>SUMIFS(Caisse!$H$5:$H$604,Caisse!$D$5:$D$604,"Électricité / eau",Caisse!$J$5:$J$604,12,Caisse!$A$5:$A$604,"&gt;="&amp;DATE(Paramètres!$B$4,1,1),Caisse!$A$5:$A$604,"&lt;="&amp;DATE(Paramètres!$B$4,12,31))</f>
        <v/>
      </c>
      <c r="N16" s="7">
        <f>SUMIFS(Caisse!$H$5:$H$604,Caisse!$D$5:$D$604,"Transport",Caisse!$J$5:$J$604,12,Caisse!$A$5:$A$604,"&gt;="&amp;DATE(Paramètres!$B$4,1,1),Caisse!$A$5:$A$604,"&lt;="&amp;DATE(Paramètres!$B$4,12,31))</f>
        <v/>
      </c>
      <c r="O16" s="7">
        <f>SUMIFS(Caisse!$H$5:$H$604,Caisse!$D$5:$D$604,"Entretien / réparation",Caisse!$J$5:$J$604,12,Caisse!$A$5:$A$604,"&gt;="&amp;DATE(Paramètres!$B$4,1,1),Caisse!$A$5:$A$604,"&lt;="&amp;DATE(Paramètres!$B$4,12,31))</f>
        <v/>
      </c>
      <c r="P16" s="7">
        <f>SUMIFS(Caisse!$H$5:$H$604,Caisse!$D$5:$D$604,"Taxes / mairie",Caisse!$J$5:$J$604,12,Caisse!$A$5:$A$604,"&gt;="&amp;DATE(Paramètres!$B$4,1,1),Caisse!$A$5:$A$604,"&lt;="&amp;DATE(Paramètres!$B$4,12,31))</f>
        <v/>
      </c>
      <c r="Q16" s="7">
        <f>SUMIFS(Caisse!$H$5:$H$604,Caisse!$D$5:$D$604,"Autre dépense",Caisse!$J$5:$J$604,12,Caisse!$A$5:$A$604,"&gt;="&amp;DATE(Paramètres!$B$4,1,1),Caisse!$A$5:$A$604,"&lt;="&amp;DATE(Paramètres!$B$4,12,31))</f>
        <v/>
      </c>
    </row>
    <row r="17">
      <c r="A17" s="9" t="inlineStr">
        <is>
          <t>TOTAL</t>
        </is>
      </c>
      <c r="B17" s="10">
        <f>SUM(B5:B16)</f>
        <v/>
      </c>
      <c r="C17" s="10">
        <f>SUM(C5:C16)</f>
        <v/>
      </c>
      <c r="D17" s="10">
        <f>SUM(D5:D16)</f>
        <v/>
      </c>
      <c r="E17" s="10">
        <f>SUM(E5:E16)</f>
        <v/>
      </c>
      <c r="F17" s="11">
        <f>IF(B17=0,"",E17/B17)</f>
        <v/>
      </c>
      <c r="G17" s="10">
        <f>SUM(G5:G16)</f>
        <v/>
      </c>
      <c r="H17" s="10">
        <f>SUM(H5:H16)</f>
        <v/>
      </c>
      <c r="I17" s="10">
        <f>SUM(I5:I16)</f>
        <v/>
      </c>
      <c r="J17" s="10">
        <f>SUM(J5:J16)</f>
        <v/>
      </c>
      <c r="K17" s="10">
        <f>SUM(K5:K16)</f>
        <v/>
      </c>
      <c r="L17" s="10">
        <f>SUM(L5:L16)</f>
        <v/>
      </c>
      <c r="M17" s="10">
        <f>SUM(M5:M16)</f>
        <v/>
      </c>
      <c r="N17" s="10">
        <f>SUM(N5:N16)</f>
        <v/>
      </c>
      <c r="O17" s="10">
        <f>SUM(O5:O16)</f>
        <v/>
      </c>
      <c r="P17" s="10">
        <f>SUM(P5:P16)</f>
        <v/>
      </c>
      <c r="Q17" s="10">
        <f>SUM(Q5:Q16)</f>
        <v/>
      </c>
    </row>
    <row r="20">
      <c r="A20" s="3" t="inlineStr">
        <is>
          <t>Crédits clients en cours</t>
        </is>
      </c>
      <c r="B20" s="7">
        <f>SUM('Crédits clients'!$I$5:$I$304)</f>
        <v/>
      </c>
    </row>
    <row r="21">
      <c r="A21" s="3" t="inlineStr">
        <is>
          <t>Valeur du stock</t>
        </is>
      </c>
      <c r="B21" s="7">
        <f>SUM(Stocks!$O$5:$O$154)</f>
        <v/>
      </c>
    </row>
    <row r="22">
      <c r="A22" s="3" t="inlineStr">
        <is>
          <t>Articles à commander</t>
        </is>
      </c>
      <c r="B22" s="12">
        <f>COUNTIF(Stocks!$R$5:$R$154,"À COMMANDER")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La Tendresse de Ketchup — Paramètres</t>
        </is>
      </c>
    </row>
    <row r="2">
      <c r="A2" s="2" t="inlineStr"/>
    </row>
    <row r="3">
      <c r="D3" s="13" t="inlineStr">
        <is>
          <t>Catégories entrées</t>
        </is>
      </c>
      <c r="E3" s="13" t="inlineStr">
        <is>
          <t>Catégories sorties</t>
        </is>
      </c>
      <c r="F3" s="13" t="inlineStr">
        <is>
          <t>Modes de paiement</t>
        </is>
      </c>
      <c r="G3" s="13" t="inlineStr">
        <is>
          <t>Personnel</t>
        </is>
      </c>
      <c r="H3" s="13" t="inlineStr">
        <is>
          <t>Toutes catégories</t>
        </is>
      </c>
    </row>
    <row r="4">
      <c r="A4" s="14" t="inlineStr">
        <is>
          <t>Année suivie</t>
        </is>
      </c>
      <c r="B4" s="15" t="n">
        <v>2026</v>
      </c>
      <c r="D4" s="16" t="inlineStr">
        <is>
          <t>Ventes du jour</t>
        </is>
      </c>
      <c r="E4" s="16" t="inlineStr">
        <is>
          <t>Achat boissons</t>
        </is>
      </c>
      <c r="F4" s="16" t="inlineStr">
        <is>
          <t>Espèces</t>
        </is>
      </c>
      <c r="G4" s="16" t="n"/>
      <c r="H4" s="16" t="inlineStr">
        <is>
          <t>Ventes du jour</t>
        </is>
      </c>
    </row>
    <row r="5">
      <c r="A5" s="14" t="inlineStr">
        <is>
          <t>Fonds de caisse de départ</t>
        </is>
      </c>
      <c r="B5" s="17" t="n">
        <v>0</v>
      </c>
      <c r="D5" s="16" t="inlineStr">
        <is>
          <t>Remboursement crédit client</t>
        </is>
      </c>
      <c r="E5" s="16" t="inlineStr">
        <is>
          <t>Achat cuisine / denrées</t>
        </is>
      </c>
      <c r="F5" s="16" t="inlineStr">
        <is>
          <t>MTN MoMo</t>
        </is>
      </c>
      <c r="G5" s="16" t="n"/>
      <c r="H5" s="16" t="inlineStr">
        <is>
          <t>Remboursement crédit client</t>
        </is>
      </c>
    </row>
    <row r="6">
      <c r="A6" s="14" t="inlineStr">
        <is>
          <t>Seuil d'alerte écart de caisse</t>
        </is>
      </c>
      <c r="B6" s="17" t="n">
        <v>2000</v>
      </c>
      <c r="D6" s="16" t="inlineStr">
        <is>
          <t>Apport du gérant / propriétaire</t>
        </is>
      </c>
      <c r="E6" s="16" t="inlineStr">
        <is>
          <t>Salaire / avance</t>
        </is>
      </c>
      <c r="F6" s="16" t="inlineStr">
        <is>
          <t>Airtel Money</t>
        </is>
      </c>
      <c r="G6" s="16" t="n"/>
      <c r="H6" s="16" t="inlineStr">
        <is>
          <t>Apport du gérant / propriétaire</t>
        </is>
      </c>
    </row>
    <row r="7">
      <c r="D7" s="16" t="inlineStr">
        <is>
          <t>Vente d'emballages vides</t>
        </is>
      </c>
      <c r="E7" s="16" t="inlineStr">
        <is>
          <t>Loyer</t>
        </is>
      </c>
      <c r="F7" s="16" t="inlineStr">
        <is>
          <t>Autre</t>
        </is>
      </c>
      <c r="G7" s="16" t="n"/>
      <c r="H7" s="16" t="inlineStr">
        <is>
          <t>Vente d'emballages vides</t>
        </is>
      </c>
    </row>
    <row r="8">
      <c r="D8" s="16" t="inlineStr">
        <is>
          <t>Autre entrée</t>
        </is>
      </c>
      <c r="E8" s="16" t="inlineStr">
        <is>
          <t>Électricité / eau</t>
        </is>
      </c>
      <c r="G8" s="16" t="n"/>
      <c r="H8" s="16" t="inlineStr">
        <is>
          <t>Autre entrée</t>
        </is>
      </c>
    </row>
    <row r="9">
      <c r="E9" s="16" t="inlineStr">
        <is>
          <t>Transport</t>
        </is>
      </c>
      <c r="G9" s="16" t="n"/>
      <c r="H9" s="16" t="inlineStr">
        <is>
          <t>Achat boissons</t>
        </is>
      </c>
    </row>
    <row r="10">
      <c r="E10" s="16" t="inlineStr">
        <is>
          <t>Entretien / réparation</t>
        </is>
      </c>
      <c r="G10" s="16" t="n"/>
      <c r="H10" s="16" t="inlineStr">
        <is>
          <t>Achat cuisine / denrées</t>
        </is>
      </c>
    </row>
    <row r="11">
      <c r="E11" s="16" t="inlineStr">
        <is>
          <t>Taxes / mairie</t>
        </is>
      </c>
      <c r="G11" s="16" t="n"/>
      <c r="H11" s="16" t="inlineStr">
        <is>
          <t>Salaire / avance</t>
        </is>
      </c>
    </row>
    <row r="12">
      <c r="E12" s="16" t="inlineStr">
        <is>
          <t>Autre dépense</t>
        </is>
      </c>
      <c r="G12" s="16" t="n"/>
      <c r="H12" s="16" t="inlineStr">
        <is>
          <t>Loyer</t>
        </is>
      </c>
    </row>
    <row r="13">
      <c r="G13" s="16" t="n"/>
      <c r="H13" s="16" t="inlineStr">
        <is>
          <t>Électricité / eau</t>
        </is>
      </c>
    </row>
    <row r="14">
      <c r="G14" s="16" t="n"/>
      <c r="H14" s="16" t="inlineStr">
        <is>
          <t>Transport</t>
        </is>
      </c>
    </row>
    <row r="15">
      <c r="G15" s="16" t="n"/>
      <c r="H15" s="16" t="inlineStr">
        <is>
          <t>Entretien / réparation</t>
        </is>
      </c>
    </row>
    <row r="16">
      <c r="G16" s="16" t="n"/>
      <c r="H16" s="16" t="inlineStr">
        <is>
          <t>Taxes / mairie</t>
        </is>
      </c>
    </row>
    <row r="17">
      <c r="G17" s="16" t="n"/>
      <c r="H17" s="16" t="inlineStr">
        <is>
          <t>Autre dépense</t>
        </is>
      </c>
    </row>
    <row r="18">
      <c r="G18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40" customWidth="1" min="5" max="5"/>
    <col width="14" customWidth="1" min="6" max="6"/>
    <col width="15" customWidth="1" min="7" max="7"/>
    <col width="15" customWidth="1" min="8" max="8"/>
    <col width="16" customWidth="1" min="9" max="9"/>
    <col width="10" customWidth="1" min="10" max="10"/>
  </cols>
  <sheetData>
    <row r="1">
      <c r="A1" s="1" t="inlineStr">
        <is>
          <t>La Tendresse de Ketchup — Journal de caisse</t>
        </is>
      </c>
    </row>
    <row r="2">
      <c r="A2" s="2" t="inlineStr">
        <is>
          <t>Une ligne par pièce de caisse. Le solde se calcule à partir du fonds de départ (Paramètres).</t>
        </is>
      </c>
    </row>
    <row r="4" ht="30" customHeight="1">
      <c r="A4" s="5" t="inlineStr">
        <is>
          <t>Date</t>
        </is>
      </c>
      <c r="B4" s="5" t="inlineStr">
        <is>
          <t>N° pièce</t>
        </is>
      </c>
      <c r="C4" s="5" t="inlineStr">
        <is>
          <t>Type</t>
        </is>
      </c>
      <c r="D4" s="5" t="inlineStr">
        <is>
          <t>Catégorie</t>
        </is>
      </c>
      <c r="E4" s="5" t="inlineStr">
        <is>
          <t>Libellé</t>
        </is>
      </c>
      <c r="F4" s="5" t="inlineStr">
        <is>
          <t>Mode</t>
        </is>
      </c>
      <c r="G4" s="5" t="inlineStr">
        <is>
          <t>Entrée FCFA</t>
        </is>
      </c>
      <c r="H4" s="5" t="inlineStr">
        <is>
          <t>Sortie FCFA</t>
        </is>
      </c>
      <c r="I4" s="5" t="inlineStr">
        <is>
          <t>Solde FCFA</t>
        </is>
      </c>
      <c r="J4" s="5" t="inlineStr">
        <is>
          <t>Mois</t>
        </is>
      </c>
    </row>
    <row r="5">
      <c r="A5" s="18" t="n"/>
      <c r="B5" s="15" t="n"/>
      <c r="C5" s="15" t="n"/>
      <c r="D5" s="15" t="n"/>
      <c r="E5" s="15" t="n"/>
      <c r="F5" s="15" t="n"/>
      <c r="G5" s="17" t="n"/>
      <c r="H5" s="17" t="n"/>
      <c r="I5" s="7">
        <f>IF(AND(G5="",H5=""),"",Paramètres!$B$5+SUM(G$5:G5)-SUM(H$5:H5))</f>
        <v/>
      </c>
      <c r="J5" s="12">
        <f>IF(A5="","",MONTH(A5))</f>
        <v/>
      </c>
    </row>
    <row r="6">
      <c r="A6" s="18" t="n"/>
      <c r="B6" s="15" t="n"/>
      <c r="C6" s="15" t="n"/>
      <c r="D6" s="15" t="n"/>
      <c r="E6" s="15" t="n"/>
      <c r="F6" s="15" t="n"/>
      <c r="G6" s="17" t="n"/>
      <c r="H6" s="17" t="n"/>
      <c r="I6" s="7">
        <f>IF(AND(G6="",H6=""),"",Paramètres!$B$5+SUM(G$5:G6)-SUM(H$5:H6))</f>
        <v/>
      </c>
      <c r="J6" s="12">
        <f>IF(A6="","",MONTH(A6))</f>
        <v/>
      </c>
    </row>
    <row r="7">
      <c r="A7" s="18" t="n"/>
      <c r="B7" s="15" t="n"/>
      <c r="C7" s="15" t="n"/>
      <c r="D7" s="15" t="n"/>
      <c r="E7" s="15" t="n"/>
      <c r="F7" s="15" t="n"/>
      <c r="G7" s="17" t="n"/>
      <c r="H7" s="17" t="n"/>
      <c r="I7" s="7">
        <f>IF(AND(G7="",H7=""),"",Paramètres!$B$5+SUM(G$5:G7)-SUM(H$5:H7))</f>
        <v/>
      </c>
      <c r="J7" s="12">
        <f>IF(A7="","",MONTH(A7))</f>
        <v/>
      </c>
    </row>
    <row r="8">
      <c r="A8" s="18" t="n"/>
      <c r="B8" s="15" t="n"/>
      <c r="C8" s="15" t="n"/>
      <c r="D8" s="15" t="n"/>
      <c r="E8" s="15" t="n"/>
      <c r="F8" s="15" t="n"/>
      <c r="G8" s="17" t="n"/>
      <c r="H8" s="17" t="n"/>
      <c r="I8" s="7">
        <f>IF(AND(G8="",H8=""),"",Paramètres!$B$5+SUM(G$5:G8)-SUM(H$5:H8))</f>
        <v/>
      </c>
      <c r="J8" s="12">
        <f>IF(A8="","",MONTH(A8))</f>
        <v/>
      </c>
    </row>
    <row r="9">
      <c r="A9" s="18" t="n"/>
      <c r="B9" s="15" t="n"/>
      <c r="C9" s="15" t="n"/>
      <c r="D9" s="15" t="n"/>
      <c r="E9" s="15" t="n"/>
      <c r="F9" s="15" t="n"/>
      <c r="G9" s="17" t="n"/>
      <c r="H9" s="17" t="n"/>
      <c r="I9" s="7">
        <f>IF(AND(G9="",H9=""),"",Paramètres!$B$5+SUM(G$5:G9)-SUM(H$5:H9))</f>
        <v/>
      </c>
      <c r="J9" s="12">
        <f>IF(A9="","",MONTH(A9))</f>
        <v/>
      </c>
    </row>
    <row r="10">
      <c r="A10" s="18" t="n"/>
      <c r="B10" s="15" t="n"/>
      <c r="C10" s="15" t="n"/>
      <c r="D10" s="15" t="n"/>
      <c r="E10" s="15" t="n"/>
      <c r="F10" s="15" t="n"/>
      <c r="G10" s="17" t="n"/>
      <c r="H10" s="17" t="n"/>
      <c r="I10" s="7">
        <f>IF(AND(G10="",H10=""),"",Paramètres!$B$5+SUM(G$5:G10)-SUM(H$5:H10))</f>
        <v/>
      </c>
      <c r="J10" s="12">
        <f>IF(A10="","",MONTH(A10))</f>
        <v/>
      </c>
    </row>
    <row r="11">
      <c r="A11" s="18" t="n"/>
      <c r="B11" s="15" t="n"/>
      <c r="C11" s="15" t="n"/>
      <c r="D11" s="15" t="n"/>
      <c r="E11" s="15" t="n"/>
      <c r="F11" s="15" t="n"/>
      <c r="G11" s="17" t="n"/>
      <c r="H11" s="17" t="n"/>
      <c r="I11" s="7">
        <f>IF(AND(G11="",H11=""),"",Paramètres!$B$5+SUM(G$5:G11)-SUM(H$5:H11))</f>
        <v/>
      </c>
      <c r="J11" s="12">
        <f>IF(A11="","",MONTH(A11))</f>
        <v/>
      </c>
    </row>
    <row r="12">
      <c r="A12" s="18" t="n"/>
      <c r="B12" s="15" t="n"/>
      <c r="C12" s="15" t="n"/>
      <c r="D12" s="15" t="n"/>
      <c r="E12" s="15" t="n"/>
      <c r="F12" s="15" t="n"/>
      <c r="G12" s="17" t="n"/>
      <c r="H12" s="17" t="n"/>
      <c r="I12" s="7">
        <f>IF(AND(G12="",H12=""),"",Paramètres!$B$5+SUM(G$5:G12)-SUM(H$5:H12))</f>
        <v/>
      </c>
      <c r="J12" s="12">
        <f>IF(A12="","",MONTH(A12))</f>
        <v/>
      </c>
    </row>
    <row r="13">
      <c r="A13" s="18" t="n"/>
      <c r="B13" s="15" t="n"/>
      <c r="C13" s="15" t="n"/>
      <c r="D13" s="15" t="n"/>
      <c r="E13" s="15" t="n"/>
      <c r="F13" s="15" t="n"/>
      <c r="G13" s="17" t="n"/>
      <c r="H13" s="17" t="n"/>
      <c r="I13" s="7">
        <f>IF(AND(G13="",H13=""),"",Paramètres!$B$5+SUM(G$5:G13)-SUM(H$5:H13))</f>
        <v/>
      </c>
      <c r="J13" s="12">
        <f>IF(A13="","",MONTH(A13))</f>
        <v/>
      </c>
    </row>
    <row r="14">
      <c r="A14" s="18" t="n"/>
      <c r="B14" s="15" t="n"/>
      <c r="C14" s="15" t="n"/>
      <c r="D14" s="15" t="n"/>
      <c r="E14" s="15" t="n"/>
      <c r="F14" s="15" t="n"/>
      <c r="G14" s="17" t="n"/>
      <c r="H14" s="17" t="n"/>
      <c r="I14" s="7">
        <f>IF(AND(G14="",H14=""),"",Paramètres!$B$5+SUM(G$5:G14)-SUM(H$5:H14))</f>
        <v/>
      </c>
      <c r="J14" s="12">
        <f>IF(A14="","",MONTH(A14))</f>
        <v/>
      </c>
    </row>
    <row r="15">
      <c r="A15" s="18" t="n"/>
      <c r="B15" s="15" t="n"/>
      <c r="C15" s="15" t="n"/>
      <c r="D15" s="15" t="n"/>
      <c r="E15" s="15" t="n"/>
      <c r="F15" s="15" t="n"/>
      <c r="G15" s="17" t="n"/>
      <c r="H15" s="17" t="n"/>
      <c r="I15" s="7">
        <f>IF(AND(G15="",H15=""),"",Paramètres!$B$5+SUM(G$5:G15)-SUM(H$5:H15))</f>
        <v/>
      </c>
      <c r="J15" s="12">
        <f>IF(A15="","",MONTH(A15))</f>
        <v/>
      </c>
    </row>
    <row r="16">
      <c r="A16" s="18" t="n"/>
      <c r="B16" s="15" t="n"/>
      <c r="C16" s="15" t="n"/>
      <c r="D16" s="15" t="n"/>
      <c r="E16" s="15" t="n"/>
      <c r="F16" s="15" t="n"/>
      <c r="G16" s="17" t="n"/>
      <c r="H16" s="17" t="n"/>
      <c r="I16" s="7">
        <f>IF(AND(G16="",H16=""),"",Paramètres!$B$5+SUM(G$5:G16)-SUM(H$5:H16))</f>
        <v/>
      </c>
      <c r="J16" s="12">
        <f>IF(A16="","",MONTH(A16))</f>
        <v/>
      </c>
    </row>
    <row r="17">
      <c r="A17" s="18" t="n"/>
      <c r="B17" s="15" t="n"/>
      <c r="C17" s="15" t="n"/>
      <c r="D17" s="15" t="n"/>
      <c r="E17" s="15" t="n"/>
      <c r="F17" s="15" t="n"/>
      <c r="G17" s="17" t="n"/>
      <c r="H17" s="17" t="n"/>
      <c r="I17" s="7">
        <f>IF(AND(G17="",H17=""),"",Paramètres!$B$5+SUM(G$5:G17)-SUM(H$5:H17))</f>
        <v/>
      </c>
      <c r="J17" s="12">
        <f>IF(A17="","",MONTH(A17))</f>
        <v/>
      </c>
    </row>
    <row r="18">
      <c r="A18" s="18" t="n"/>
      <c r="B18" s="15" t="n"/>
      <c r="C18" s="15" t="n"/>
      <c r="D18" s="15" t="n"/>
      <c r="E18" s="15" t="n"/>
      <c r="F18" s="15" t="n"/>
      <c r="G18" s="17" t="n"/>
      <c r="H18" s="17" t="n"/>
      <c r="I18" s="7">
        <f>IF(AND(G18="",H18=""),"",Paramètres!$B$5+SUM(G$5:G18)-SUM(H$5:H18))</f>
        <v/>
      </c>
      <c r="J18" s="12">
        <f>IF(A18="","",MONTH(A18))</f>
        <v/>
      </c>
    </row>
    <row r="19">
      <c r="A19" s="18" t="n"/>
      <c r="B19" s="15" t="n"/>
      <c r="C19" s="15" t="n"/>
      <c r="D19" s="15" t="n"/>
      <c r="E19" s="15" t="n"/>
      <c r="F19" s="15" t="n"/>
      <c r="G19" s="17" t="n"/>
      <c r="H19" s="17" t="n"/>
      <c r="I19" s="7">
        <f>IF(AND(G19="",H19=""),"",Paramètres!$B$5+SUM(G$5:G19)-SUM(H$5:H19))</f>
        <v/>
      </c>
      <c r="J19" s="12">
        <f>IF(A19="","",MONTH(A19))</f>
        <v/>
      </c>
    </row>
    <row r="20">
      <c r="A20" s="18" t="n"/>
      <c r="B20" s="15" t="n"/>
      <c r="C20" s="15" t="n"/>
      <c r="D20" s="15" t="n"/>
      <c r="E20" s="15" t="n"/>
      <c r="F20" s="15" t="n"/>
      <c r="G20" s="17" t="n"/>
      <c r="H20" s="17" t="n"/>
      <c r="I20" s="7">
        <f>IF(AND(G20="",H20=""),"",Paramètres!$B$5+SUM(G$5:G20)-SUM(H$5:H20))</f>
        <v/>
      </c>
      <c r="J20" s="12">
        <f>IF(A20="","",MONTH(A20))</f>
        <v/>
      </c>
    </row>
    <row r="21">
      <c r="A21" s="18" t="n"/>
      <c r="B21" s="15" t="n"/>
      <c r="C21" s="15" t="n"/>
      <c r="D21" s="15" t="n"/>
      <c r="E21" s="15" t="n"/>
      <c r="F21" s="15" t="n"/>
      <c r="G21" s="17" t="n"/>
      <c r="H21" s="17" t="n"/>
      <c r="I21" s="7">
        <f>IF(AND(G21="",H21=""),"",Paramètres!$B$5+SUM(G$5:G21)-SUM(H$5:H21))</f>
        <v/>
      </c>
      <c r="J21" s="12">
        <f>IF(A21="","",MONTH(A21))</f>
        <v/>
      </c>
    </row>
    <row r="22">
      <c r="A22" s="18" t="n"/>
      <c r="B22" s="15" t="n"/>
      <c r="C22" s="15" t="n"/>
      <c r="D22" s="15" t="n"/>
      <c r="E22" s="15" t="n"/>
      <c r="F22" s="15" t="n"/>
      <c r="G22" s="17" t="n"/>
      <c r="H22" s="17" t="n"/>
      <c r="I22" s="7">
        <f>IF(AND(G22="",H22=""),"",Paramètres!$B$5+SUM(G$5:G22)-SUM(H$5:H22))</f>
        <v/>
      </c>
      <c r="J22" s="12">
        <f>IF(A22="","",MONTH(A22))</f>
        <v/>
      </c>
    </row>
    <row r="23">
      <c r="A23" s="18" t="n"/>
      <c r="B23" s="15" t="n"/>
      <c r="C23" s="15" t="n"/>
      <c r="D23" s="15" t="n"/>
      <c r="E23" s="15" t="n"/>
      <c r="F23" s="15" t="n"/>
      <c r="G23" s="17" t="n"/>
      <c r="H23" s="17" t="n"/>
      <c r="I23" s="7">
        <f>IF(AND(G23="",H23=""),"",Paramètres!$B$5+SUM(G$5:G23)-SUM(H$5:H23))</f>
        <v/>
      </c>
      <c r="J23" s="12">
        <f>IF(A23="","",MONTH(A23))</f>
        <v/>
      </c>
    </row>
    <row r="24">
      <c r="A24" s="18" t="n"/>
      <c r="B24" s="15" t="n"/>
      <c r="C24" s="15" t="n"/>
      <c r="D24" s="15" t="n"/>
      <c r="E24" s="15" t="n"/>
      <c r="F24" s="15" t="n"/>
      <c r="G24" s="17" t="n"/>
      <c r="H24" s="17" t="n"/>
      <c r="I24" s="7">
        <f>IF(AND(G24="",H24=""),"",Paramètres!$B$5+SUM(G$5:G24)-SUM(H$5:H24))</f>
        <v/>
      </c>
      <c r="J24" s="12">
        <f>IF(A24="","",MONTH(A24))</f>
        <v/>
      </c>
    </row>
    <row r="25">
      <c r="A25" s="18" t="n"/>
      <c r="B25" s="15" t="n"/>
      <c r="C25" s="15" t="n"/>
      <c r="D25" s="15" t="n"/>
      <c r="E25" s="15" t="n"/>
      <c r="F25" s="15" t="n"/>
      <c r="G25" s="17" t="n"/>
      <c r="H25" s="17" t="n"/>
      <c r="I25" s="7">
        <f>IF(AND(G25="",H25=""),"",Paramètres!$B$5+SUM(G$5:G25)-SUM(H$5:H25))</f>
        <v/>
      </c>
      <c r="J25" s="12">
        <f>IF(A25="","",MONTH(A25))</f>
        <v/>
      </c>
    </row>
    <row r="26">
      <c r="A26" s="18" t="n"/>
      <c r="B26" s="15" t="n"/>
      <c r="C26" s="15" t="n"/>
      <c r="D26" s="15" t="n"/>
      <c r="E26" s="15" t="n"/>
      <c r="F26" s="15" t="n"/>
      <c r="G26" s="17" t="n"/>
      <c r="H26" s="17" t="n"/>
      <c r="I26" s="7">
        <f>IF(AND(G26="",H26=""),"",Paramètres!$B$5+SUM(G$5:G26)-SUM(H$5:H26))</f>
        <v/>
      </c>
      <c r="J26" s="12">
        <f>IF(A26="","",MONTH(A26))</f>
        <v/>
      </c>
    </row>
    <row r="27">
      <c r="A27" s="18" t="n"/>
      <c r="B27" s="15" t="n"/>
      <c r="C27" s="15" t="n"/>
      <c r="D27" s="15" t="n"/>
      <c r="E27" s="15" t="n"/>
      <c r="F27" s="15" t="n"/>
      <c r="G27" s="17" t="n"/>
      <c r="H27" s="17" t="n"/>
      <c r="I27" s="7">
        <f>IF(AND(G27="",H27=""),"",Paramètres!$B$5+SUM(G$5:G27)-SUM(H$5:H27))</f>
        <v/>
      </c>
      <c r="J27" s="12">
        <f>IF(A27="","",MONTH(A27))</f>
        <v/>
      </c>
    </row>
    <row r="28">
      <c r="A28" s="18" t="n"/>
      <c r="B28" s="15" t="n"/>
      <c r="C28" s="15" t="n"/>
      <c r="D28" s="15" t="n"/>
      <c r="E28" s="15" t="n"/>
      <c r="F28" s="15" t="n"/>
      <c r="G28" s="17" t="n"/>
      <c r="H28" s="17" t="n"/>
      <c r="I28" s="7">
        <f>IF(AND(G28="",H28=""),"",Paramètres!$B$5+SUM(G$5:G28)-SUM(H$5:H28))</f>
        <v/>
      </c>
      <c r="J28" s="12">
        <f>IF(A28="","",MONTH(A28))</f>
        <v/>
      </c>
    </row>
    <row r="29">
      <c r="A29" s="18" t="n"/>
      <c r="B29" s="15" t="n"/>
      <c r="C29" s="15" t="n"/>
      <c r="D29" s="15" t="n"/>
      <c r="E29" s="15" t="n"/>
      <c r="F29" s="15" t="n"/>
      <c r="G29" s="17" t="n"/>
      <c r="H29" s="17" t="n"/>
      <c r="I29" s="7">
        <f>IF(AND(G29="",H29=""),"",Paramètres!$B$5+SUM(G$5:G29)-SUM(H$5:H29))</f>
        <v/>
      </c>
      <c r="J29" s="12">
        <f>IF(A29="","",MONTH(A29))</f>
        <v/>
      </c>
    </row>
    <row r="30">
      <c r="A30" s="18" t="n"/>
      <c r="B30" s="15" t="n"/>
      <c r="C30" s="15" t="n"/>
      <c r="D30" s="15" t="n"/>
      <c r="E30" s="15" t="n"/>
      <c r="F30" s="15" t="n"/>
      <c r="G30" s="17" t="n"/>
      <c r="H30" s="17" t="n"/>
      <c r="I30" s="7">
        <f>IF(AND(G30="",H30=""),"",Paramètres!$B$5+SUM(G$5:G30)-SUM(H$5:H30))</f>
        <v/>
      </c>
      <c r="J30" s="12">
        <f>IF(A30="","",MONTH(A30))</f>
        <v/>
      </c>
    </row>
    <row r="31">
      <c r="A31" s="18" t="n"/>
      <c r="B31" s="15" t="n"/>
      <c r="C31" s="15" t="n"/>
      <c r="D31" s="15" t="n"/>
      <c r="E31" s="15" t="n"/>
      <c r="F31" s="15" t="n"/>
      <c r="G31" s="17" t="n"/>
      <c r="H31" s="17" t="n"/>
      <c r="I31" s="7">
        <f>IF(AND(G31="",H31=""),"",Paramètres!$B$5+SUM(G$5:G31)-SUM(H$5:H31))</f>
        <v/>
      </c>
      <c r="J31" s="12">
        <f>IF(A31="","",MONTH(A31))</f>
        <v/>
      </c>
    </row>
    <row r="32">
      <c r="A32" s="18" t="n"/>
      <c r="B32" s="15" t="n"/>
      <c r="C32" s="15" t="n"/>
      <c r="D32" s="15" t="n"/>
      <c r="E32" s="15" t="n"/>
      <c r="F32" s="15" t="n"/>
      <c r="G32" s="17" t="n"/>
      <c r="H32" s="17" t="n"/>
      <c r="I32" s="7">
        <f>IF(AND(G32="",H32=""),"",Paramètres!$B$5+SUM(G$5:G32)-SUM(H$5:H32))</f>
        <v/>
      </c>
      <c r="J32" s="12">
        <f>IF(A32="","",MONTH(A32))</f>
        <v/>
      </c>
    </row>
    <row r="33">
      <c r="A33" s="18" t="n"/>
      <c r="B33" s="15" t="n"/>
      <c r="C33" s="15" t="n"/>
      <c r="D33" s="15" t="n"/>
      <c r="E33" s="15" t="n"/>
      <c r="F33" s="15" t="n"/>
      <c r="G33" s="17" t="n"/>
      <c r="H33" s="17" t="n"/>
      <c r="I33" s="7">
        <f>IF(AND(G33="",H33=""),"",Paramètres!$B$5+SUM(G$5:G33)-SUM(H$5:H33))</f>
        <v/>
      </c>
      <c r="J33" s="12">
        <f>IF(A33="","",MONTH(A33))</f>
        <v/>
      </c>
    </row>
    <row r="34">
      <c r="A34" s="18" t="n"/>
      <c r="B34" s="15" t="n"/>
      <c r="C34" s="15" t="n"/>
      <c r="D34" s="15" t="n"/>
      <c r="E34" s="15" t="n"/>
      <c r="F34" s="15" t="n"/>
      <c r="G34" s="17" t="n"/>
      <c r="H34" s="17" t="n"/>
      <c r="I34" s="7">
        <f>IF(AND(G34="",H34=""),"",Paramètres!$B$5+SUM(G$5:G34)-SUM(H$5:H34))</f>
        <v/>
      </c>
      <c r="J34" s="12">
        <f>IF(A34="","",MONTH(A34))</f>
        <v/>
      </c>
    </row>
    <row r="35">
      <c r="A35" s="18" t="n"/>
      <c r="B35" s="15" t="n"/>
      <c r="C35" s="15" t="n"/>
      <c r="D35" s="15" t="n"/>
      <c r="E35" s="15" t="n"/>
      <c r="F35" s="15" t="n"/>
      <c r="G35" s="17" t="n"/>
      <c r="H35" s="17" t="n"/>
      <c r="I35" s="7">
        <f>IF(AND(G35="",H35=""),"",Paramètres!$B$5+SUM(G$5:G35)-SUM(H$5:H35))</f>
        <v/>
      </c>
      <c r="J35" s="12">
        <f>IF(A35="","",MONTH(A35))</f>
        <v/>
      </c>
    </row>
    <row r="36">
      <c r="A36" s="18" t="n"/>
      <c r="B36" s="15" t="n"/>
      <c r="C36" s="15" t="n"/>
      <c r="D36" s="15" t="n"/>
      <c r="E36" s="15" t="n"/>
      <c r="F36" s="15" t="n"/>
      <c r="G36" s="17" t="n"/>
      <c r="H36" s="17" t="n"/>
      <c r="I36" s="7">
        <f>IF(AND(G36="",H36=""),"",Paramètres!$B$5+SUM(G$5:G36)-SUM(H$5:H36))</f>
        <v/>
      </c>
      <c r="J36" s="12">
        <f>IF(A36="","",MONTH(A36))</f>
        <v/>
      </c>
    </row>
    <row r="37">
      <c r="A37" s="18" t="n"/>
      <c r="B37" s="15" t="n"/>
      <c r="C37" s="15" t="n"/>
      <c r="D37" s="15" t="n"/>
      <c r="E37" s="15" t="n"/>
      <c r="F37" s="15" t="n"/>
      <c r="G37" s="17" t="n"/>
      <c r="H37" s="17" t="n"/>
      <c r="I37" s="7">
        <f>IF(AND(G37="",H37=""),"",Paramètres!$B$5+SUM(G$5:G37)-SUM(H$5:H37))</f>
        <v/>
      </c>
      <c r="J37" s="12">
        <f>IF(A37="","",MONTH(A37))</f>
        <v/>
      </c>
    </row>
    <row r="38">
      <c r="A38" s="18" t="n"/>
      <c r="B38" s="15" t="n"/>
      <c r="C38" s="15" t="n"/>
      <c r="D38" s="15" t="n"/>
      <c r="E38" s="15" t="n"/>
      <c r="F38" s="15" t="n"/>
      <c r="G38" s="17" t="n"/>
      <c r="H38" s="17" t="n"/>
      <c r="I38" s="7">
        <f>IF(AND(G38="",H38=""),"",Paramètres!$B$5+SUM(G$5:G38)-SUM(H$5:H38))</f>
        <v/>
      </c>
      <c r="J38" s="12">
        <f>IF(A38="","",MONTH(A38))</f>
        <v/>
      </c>
    </row>
    <row r="39">
      <c r="A39" s="18" t="n"/>
      <c r="B39" s="15" t="n"/>
      <c r="C39" s="15" t="n"/>
      <c r="D39" s="15" t="n"/>
      <c r="E39" s="15" t="n"/>
      <c r="F39" s="15" t="n"/>
      <c r="G39" s="17" t="n"/>
      <c r="H39" s="17" t="n"/>
      <c r="I39" s="7">
        <f>IF(AND(G39="",H39=""),"",Paramètres!$B$5+SUM(G$5:G39)-SUM(H$5:H39))</f>
        <v/>
      </c>
      <c r="J39" s="12">
        <f>IF(A39="","",MONTH(A39))</f>
        <v/>
      </c>
    </row>
    <row r="40">
      <c r="A40" s="18" t="n"/>
      <c r="B40" s="15" t="n"/>
      <c r="C40" s="15" t="n"/>
      <c r="D40" s="15" t="n"/>
      <c r="E40" s="15" t="n"/>
      <c r="F40" s="15" t="n"/>
      <c r="G40" s="17" t="n"/>
      <c r="H40" s="17" t="n"/>
      <c r="I40" s="7">
        <f>IF(AND(G40="",H40=""),"",Paramètres!$B$5+SUM(G$5:G40)-SUM(H$5:H40))</f>
        <v/>
      </c>
      <c r="J40" s="12">
        <f>IF(A40="","",MONTH(A40))</f>
        <v/>
      </c>
    </row>
    <row r="41">
      <c r="A41" s="18" t="n"/>
      <c r="B41" s="15" t="n"/>
      <c r="C41" s="15" t="n"/>
      <c r="D41" s="15" t="n"/>
      <c r="E41" s="15" t="n"/>
      <c r="F41" s="15" t="n"/>
      <c r="G41" s="17" t="n"/>
      <c r="H41" s="17" t="n"/>
      <c r="I41" s="7">
        <f>IF(AND(G41="",H41=""),"",Paramètres!$B$5+SUM(G$5:G41)-SUM(H$5:H41))</f>
        <v/>
      </c>
      <c r="J41" s="12">
        <f>IF(A41="","",MONTH(A41))</f>
        <v/>
      </c>
    </row>
    <row r="42">
      <c r="A42" s="18" t="n"/>
      <c r="B42" s="15" t="n"/>
      <c r="C42" s="15" t="n"/>
      <c r="D42" s="15" t="n"/>
      <c r="E42" s="15" t="n"/>
      <c r="F42" s="15" t="n"/>
      <c r="G42" s="17" t="n"/>
      <c r="H42" s="17" t="n"/>
      <c r="I42" s="7">
        <f>IF(AND(G42="",H42=""),"",Paramètres!$B$5+SUM(G$5:G42)-SUM(H$5:H42))</f>
        <v/>
      </c>
      <c r="J42" s="12">
        <f>IF(A42="","",MONTH(A42))</f>
        <v/>
      </c>
    </row>
    <row r="43">
      <c r="A43" s="18" t="n"/>
      <c r="B43" s="15" t="n"/>
      <c r="C43" s="15" t="n"/>
      <c r="D43" s="15" t="n"/>
      <c r="E43" s="15" t="n"/>
      <c r="F43" s="15" t="n"/>
      <c r="G43" s="17" t="n"/>
      <c r="H43" s="17" t="n"/>
      <c r="I43" s="7">
        <f>IF(AND(G43="",H43=""),"",Paramètres!$B$5+SUM(G$5:G43)-SUM(H$5:H43))</f>
        <v/>
      </c>
      <c r="J43" s="12">
        <f>IF(A43="","",MONTH(A43))</f>
        <v/>
      </c>
    </row>
    <row r="44">
      <c r="A44" s="18" t="n"/>
      <c r="B44" s="15" t="n"/>
      <c r="C44" s="15" t="n"/>
      <c r="D44" s="15" t="n"/>
      <c r="E44" s="15" t="n"/>
      <c r="F44" s="15" t="n"/>
      <c r="G44" s="17" t="n"/>
      <c r="H44" s="17" t="n"/>
      <c r="I44" s="7">
        <f>IF(AND(G44="",H44=""),"",Paramètres!$B$5+SUM(G$5:G44)-SUM(H$5:H44))</f>
        <v/>
      </c>
      <c r="J44" s="12">
        <f>IF(A44="","",MONTH(A44))</f>
        <v/>
      </c>
    </row>
    <row r="45">
      <c r="A45" s="18" t="n"/>
      <c r="B45" s="15" t="n"/>
      <c r="C45" s="15" t="n"/>
      <c r="D45" s="15" t="n"/>
      <c r="E45" s="15" t="n"/>
      <c r="F45" s="15" t="n"/>
      <c r="G45" s="17" t="n"/>
      <c r="H45" s="17" t="n"/>
      <c r="I45" s="7">
        <f>IF(AND(G45="",H45=""),"",Paramètres!$B$5+SUM(G$5:G45)-SUM(H$5:H45))</f>
        <v/>
      </c>
      <c r="J45" s="12">
        <f>IF(A45="","",MONTH(A45))</f>
        <v/>
      </c>
    </row>
    <row r="46">
      <c r="A46" s="18" t="n"/>
      <c r="B46" s="15" t="n"/>
      <c r="C46" s="15" t="n"/>
      <c r="D46" s="15" t="n"/>
      <c r="E46" s="15" t="n"/>
      <c r="F46" s="15" t="n"/>
      <c r="G46" s="17" t="n"/>
      <c r="H46" s="17" t="n"/>
      <c r="I46" s="7">
        <f>IF(AND(G46="",H46=""),"",Paramètres!$B$5+SUM(G$5:G46)-SUM(H$5:H46))</f>
        <v/>
      </c>
      <c r="J46" s="12">
        <f>IF(A46="","",MONTH(A46))</f>
        <v/>
      </c>
    </row>
    <row r="47">
      <c r="A47" s="18" t="n"/>
      <c r="B47" s="15" t="n"/>
      <c r="C47" s="15" t="n"/>
      <c r="D47" s="15" t="n"/>
      <c r="E47" s="15" t="n"/>
      <c r="F47" s="15" t="n"/>
      <c r="G47" s="17" t="n"/>
      <c r="H47" s="17" t="n"/>
      <c r="I47" s="7">
        <f>IF(AND(G47="",H47=""),"",Paramètres!$B$5+SUM(G$5:G47)-SUM(H$5:H47))</f>
        <v/>
      </c>
      <c r="J47" s="12">
        <f>IF(A47="","",MONTH(A47))</f>
        <v/>
      </c>
    </row>
    <row r="48">
      <c r="A48" s="18" t="n"/>
      <c r="B48" s="15" t="n"/>
      <c r="C48" s="15" t="n"/>
      <c r="D48" s="15" t="n"/>
      <c r="E48" s="15" t="n"/>
      <c r="F48" s="15" t="n"/>
      <c r="G48" s="17" t="n"/>
      <c r="H48" s="17" t="n"/>
      <c r="I48" s="7">
        <f>IF(AND(G48="",H48=""),"",Paramètres!$B$5+SUM(G$5:G48)-SUM(H$5:H48))</f>
        <v/>
      </c>
      <c r="J48" s="12">
        <f>IF(A48="","",MONTH(A48))</f>
        <v/>
      </c>
    </row>
    <row r="49">
      <c r="A49" s="18" t="n"/>
      <c r="B49" s="15" t="n"/>
      <c r="C49" s="15" t="n"/>
      <c r="D49" s="15" t="n"/>
      <c r="E49" s="15" t="n"/>
      <c r="F49" s="15" t="n"/>
      <c r="G49" s="17" t="n"/>
      <c r="H49" s="17" t="n"/>
      <c r="I49" s="7">
        <f>IF(AND(G49="",H49=""),"",Paramètres!$B$5+SUM(G$5:G49)-SUM(H$5:H49))</f>
        <v/>
      </c>
      <c r="J49" s="12">
        <f>IF(A49="","",MONTH(A49))</f>
        <v/>
      </c>
    </row>
    <row r="50">
      <c r="A50" s="18" t="n"/>
      <c r="B50" s="15" t="n"/>
      <c r="C50" s="15" t="n"/>
      <c r="D50" s="15" t="n"/>
      <c r="E50" s="15" t="n"/>
      <c r="F50" s="15" t="n"/>
      <c r="G50" s="17" t="n"/>
      <c r="H50" s="17" t="n"/>
      <c r="I50" s="7">
        <f>IF(AND(G50="",H50=""),"",Paramètres!$B$5+SUM(G$5:G50)-SUM(H$5:H50))</f>
        <v/>
      </c>
      <c r="J50" s="12">
        <f>IF(A50="","",MONTH(A50))</f>
        <v/>
      </c>
    </row>
    <row r="51">
      <c r="A51" s="18" t="n"/>
      <c r="B51" s="15" t="n"/>
      <c r="C51" s="15" t="n"/>
      <c r="D51" s="15" t="n"/>
      <c r="E51" s="15" t="n"/>
      <c r="F51" s="15" t="n"/>
      <c r="G51" s="17" t="n"/>
      <c r="H51" s="17" t="n"/>
      <c r="I51" s="7">
        <f>IF(AND(G51="",H51=""),"",Paramètres!$B$5+SUM(G$5:G51)-SUM(H$5:H51))</f>
        <v/>
      </c>
      <c r="J51" s="12">
        <f>IF(A51="","",MONTH(A51))</f>
        <v/>
      </c>
    </row>
    <row r="52">
      <c r="A52" s="18" t="n"/>
      <c r="B52" s="15" t="n"/>
      <c r="C52" s="15" t="n"/>
      <c r="D52" s="15" t="n"/>
      <c r="E52" s="15" t="n"/>
      <c r="F52" s="15" t="n"/>
      <c r="G52" s="17" t="n"/>
      <c r="H52" s="17" t="n"/>
      <c r="I52" s="7">
        <f>IF(AND(G52="",H52=""),"",Paramètres!$B$5+SUM(G$5:G52)-SUM(H$5:H52))</f>
        <v/>
      </c>
      <c r="J52" s="12">
        <f>IF(A52="","",MONTH(A52))</f>
        <v/>
      </c>
    </row>
    <row r="53">
      <c r="A53" s="18" t="n"/>
      <c r="B53" s="15" t="n"/>
      <c r="C53" s="15" t="n"/>
      <c r="D53" s="15" t="n"/>
      <c r="E53" s="15" t="n"/>
      <c r="F53" s="15" t="n"/>
      <c r="G53" s="17" t="n"/>
      <c r="H53" s="17" t="n"/>
      <c r="I53" s="7">
        <f>IF(AND(G53="",H53=""),"",Paramètres!$B$5+SUM(G$5:G53)-SUM(H$5:H53))</f>
        <v/>
      </c>
      <c r="J53" s="12">
        <f>IF(A53="","",MONTH(A53))</f>
        <v/>
      </c>
    </row>
    <row r="54">
      <c r="A54" s="18" t="n"/>
      <c r="B54" s="15" t="n"/>
      <c r="C54" s="15" t="n"/>
      <c r="D54" s="15" t="n"/>
      <c r="E54" s="15" t="n"/>
      <c r="F54" s="15" t="n"/>
      <c r="G54" s="17" t="n"/>
      <c r="H54" s="17" t="n"/>
      <c r="I54" s="7">
        <f>IF(AND(G54="",H54=""),"",Paramètres!$B$5+SUM(G$5:G54)-SUM(H$5:H54))</f>
        <v/>
      </c>
      <c r="J54" s="12">
        <f>IF(A54="","",MONTH(A54))</f>
        <v/>
      </c>
    </row>
    <row r="55">
      <c r="A55" s="18" t="n"/>
      <c r="B55" s="15" t="n"/>
      <c r="C55" s="15" t="n"/>
      <c r="D55" s="15" t="n"/>
      <c r="E55" s="15" t="n"/>
      <c r="F55" s="15" t="n"/>
      <c r="G55" s="17" t="n"/>
      <c r="H55" s="17" t="n"/>
      <c r="I55" s="7">
        <f>IF(AND(G55="",H55=""),"",Paramètres!$B$5+SUM(G$5:G55)-SUM(H$5:H55))</f>
        <v/>
      </c>
      <c r="J55" s="12">
        <f>IF(A55="","",MONTH(A55))</f>
        <v/>
      </c>
    </row>
    <row r="56">
      <c r="A56" s="18" t="n"/>
      <c r="B56" s="15" t="n"/>
      <c r="C56" s="15" t="n"/>
      <c r="D56" s="15" t="n"/>
      <c r="E56" s="15" t="n"/>
      <c r="F56" s="15" t="n"/>
      <c r="G56" s="17" t="n"/>
      <c r="H56" s="17" t="n"/>
      <c r="I56" s="7">
        <f>IF(AND(G56="",H56=""),"",Paramètres!$B$5+SUM(G$5:G56)-SUM(H$5:H56))</f>
        <v/>
      </c>
      <c r="J56" s="12">
        <f>IF(A56="","",MONTH(A56))</f>
        <v/>
      </c>
    </row>
    <row r="57">
      <c r="A57" s="18" t="n"/>
      <c r="B57" s="15" t="n"/>
      <c r="C57" s="15" t="n"/>
      <c r="D57" s="15" t="n"/>
      <c r="E57" s="15" t="n"/>
      <c r="F57" s="15" t="n"/>
      <c r="G57" s="17" t="n"/>
      <c r="H57" s="17" t="n"/>
      <c r="I57" s="7">
        <f>IF(AND(G57="",H57=""),"",Paramètres!$B$5+SUM(G$5:G57)-SUM(H$5:H57))</f>
        <v/>
      </c>
      <c r="J57" s="12">
        <f>IF(A57="","",MONTH(A57))</f>
        <v/>
      </c>
    </row>
    <row r="58">
      <c r="A58" s="18" t="n"/>
      <c r="B58" s="15" t="n"/>
      <c r="C58" s="15" t="n"/>
      <c r="D58" s="15" t="n"/>
      <c r="E58" s="15" t="n"/>
      <c r="F58" s="15" t="n"/>
      <c r="G58" s="17" t="n"/>
      <c r="H58" s="17" t="n"/>
      <c r="I58" s="7">
        <f>IF(AND(G58="",H58=""),"",Paramètres!$B$5+SUM(G$5:G58)-SUM(H$5:H58))</f>
        <v/>
      </c>
      <c r="J58" s="12">
        <f>IF(A58="","",MONTH(A58))</f>
        <v/>
      </c>
    </row>
    <row r="59">
      <c r="A59" s="18" t="n"/>
      <c r="B59" s="15" t="n"/>
      <c r="C59" s="15" t="n"/>
      <c r="D59" s="15" t="n"/>
      <c r="E59" s="15" t="n"/>
      <c r="F59" s="15" t="n"/>
      <c r="G59" s="17" t="n"/>
      <c r="H59" s="17" t="n"/>
      <c r="I59" s="7">
        <f>IF(AND(G59="",H59=""),"",Paramètres!$B$5+SUM(G$5:G59)-SUM(H$5:H59))</f>
        <v/>
      </c>
      <c r="J59" s="12">
        <f>IF(A59="","",MONTH(A59))</f>
        <v/>
      </c>
    </row>
    <row r="60">
      <c r="A60" s="18" t="n"/>
      <c r="B60" s="15" t="n"/>
      <c r="C60" s="15" t="n"/>
      <c r="D60" s="15" t="n"/>
      <c r="E60" s="15" t="n"/>
      <c r="F60" s="15" t="n"/>
      <c r="G60" s="17" t="n"/>
      <c r="H60" s="17" t="n"/>
      <c r="I60" s="7">
        <f>IF(AND(G60="",H60=""),"",Paramètres!$B$5+SUM(G$5:G60)-SUM(H$5:H60))</f>
        <v/>
      </c>
      <c r="J60" s="12">
        <f>IF(A60="","",MONTH(A60))</f>
        <v/>
      </c>
    </row>
    <row r="61">
      <c r="A61" s="18" t="n"/>
      <c r="B61" s="15" t="n"/>
      <c r="C61" s="15" t="n"/>
      <c r="D61" s="15" t="n"/>
      <c r="E61" s="15" t="n"/>
      <c r="F61" s="15" t="n"/>
      <c r="G61" s="17" t="n"/>
      <c r="H61" s="17" t="n"/>
      <c r="I61" s="7">
        <f>IF(AND(G61="",H61=""),"",Paramètres!$B$5+SUM(G$5:G61)-SUM(H$5:H61))</f>
        <v/>
      </c>
      <c r="J61" s="12">
        <f>IF(A61="","",MONTH(A61))</f>
        <v/>
      </c>
    </row>
    <row r="62">
      <c r="A62" s="18" t="n"/>
      <c r="B62" s="15" t="n"/>
      <c r="C62" s="15" t="n"/>
      <c r="D62" s="15" t="n"/>
      <c r="E62" s="15" t="n"/>
      <c r="F62" s="15" t="n"/>
      <c r="G62" s="17" t="n"/>
      <c r="H62" s="17" t="n"/>
      <c r="I62" s="7">
        <f>IF(AND(G62="",H62=""),"",Paramètres!$B$5+SUM(G$5:G62)-SUM(H$5:H62))</f>
        <v/>
      </c>
      <c r="J62" s="12">
        <f>IF(A62="","",MONTH(A62))</f>
        <v/>
      </c>
    </row>
    <row r="63">
      <c r="A63" s="18" t="n"/>
      <c r="B63" s="15" t="n"/>
      <c r="C63" s="15" t="n"/>
      <c r="D63" s="15" t="n"/>
      <c r="E63" s="15" t="n"/>
      <c r="F63" s="15" t="n"/>
      <c r="G63" s="17" t="n"/>
      <c r="H63" s="17" t="n"/>
      <c r="I63" s="7">
        <f>IF(AND(G63="",H63=""),"",Paramètres!$B$5+SUM(G$5:G63)-SUM(H$5:H63))</f>
        <v/>
      </c>
      <c r="J63" s="12">
        <f>IF(A63="","",MONTH(A63))</f>
        <v/>
      </c>
    </row>
    <row r="64">
      <c r="A64" s="18" t="n"/>
      <c r="B64" s="15" t="n"/>
      <c r="C64" s="15" t="n"/>
      <c r="D64" s="15" t="n"/>
      <c r="E64" s="15" t="n"/>
      <c r="F64" s="15" t="n"/>
      <c r="G64" s="17" t="n"/>
      <c r="H64" s="17" t="n"/>
      <c r="I64" s="7">
        <f>IF(AND(G64="",H64=""),"",Paramètres!$B$5+SUM(G$5:G64)-SUM(H$5:H64))</f>
        <v/>
      </c>
      <c r="J64" s="12">
        <f>IF(A64="","",MONTH(A64))</f>
        <v/>
      </c>
    </row>
    <row r="65">
      <c r="A65" s="18" t="n"/>
      <c r="B65" s="15" t="n"/>
      <c r="C65" s="15" t="n"/>
      <c r="D65" s="15" t="n"/>
      <c r="E65" s="15" t="n"/>
      <c r="F65" s="15" t="n"/>
      <c r="G65" s="17" t="n"/>
      <c r="H65" s="17" t="n"/>
      <c r="I65" s="7">
        <f>IF(AND(G65="",H65=""),"",Paramètres!$B$5+SUM(G$5:G65)-SUM(H$5:H65))</f>
        <v/>
      </c>
      <c r="J65" s="12">
        <f>IF(A65="","",MONTH(A65))</f>
        <v/>
      </c>
    </row>
    <row r="66">
      <c r="A66" s="18" t="n"/>
      <c r="B66" s="15" t="n"/>
      <c r="C66" s="15" t="n"/>
      <c r="D66" s="15" t="n"/>
      <c r="E66" s="15" t="n"/>
      <c r="F66" s="15" t="n"/>
      <c r="G66" s="17" t="n"/>
      <c r="H66" s="17" t="n"/>
      <c r="I66" s="7">
        <f>IF(AND(G66="",H66=""),"",Paramètres!$B$5+SUM(G$5:G66)-SUM(H$5:H66))</f>
        <v/>
      </c>
      <c r="J66" s="12">
        <f>IF(A66="","",MONTH(A66))</f>
        <v/>
      </c>
    </row>
    <row r="67">
      <c r="A67" s="18" t="n"/>
      <c r="B67" s="15" t="n"/>
      <c r="C67" s="15" t="n"/>
      <c r="D67" s="15" t="n"/>
      <c r="E67" s="15" t="n"/>
      <c r="F67" s="15" t="n"/>
      <c r="G67" s="17" t="n"/>
      <c r="H67" s="17" t="n"/>
      <c r="I67" s="7">
        <f>IF(AND(G67="",H67=""),"",Paramètres!$B$5+SUM(G$5:G67)-SUM(H$5:H67))</f>
        <v/>
      </c>
      <c r="J67" s="12">
        <f>IF(A67="","",MONTH(A67))</f>
        <v/>
      </c>
    </row>
    <row r="68">
      <c r="A68" s="18" t="n"/>
      <c r="B68" s="15" t="n"/>
      <c r="C68" s="15" t="n"/>
      <c r="D68" s="15" t="n"/>
      <c r="E68" s="15" t="n"/>
      <c r="F68" s="15" t="n"/>
      <c r="G68" s="17" t="n"/>
      <c r="H68" s="17" t="n"/>
      <c r="I68" s="7">
        <f>IF(AND(G68="",H68=""),"",Paramètres!$B$5+SUM(G$5:G68)-SUM(H$5:H68))</f>
        <v/>
      </c>
      <c r="J68" s="12">
        <f>IF(A68="","",MONTH(A68))</f>
        <v/>
      </c>
    </row>
    <row r="69">
      <c r="A69" s="18" t="n"/>
      <c r="B69" s="15" t="n"/>
      <c r="C69" s="15" t="n"/>
      <c r="D69" s="15" t="n"/>
      <c r="E69" s="15" t="n"/>
      <c r="F69" s="15" t="n"/>
      <c r="G69" s="17" t="n"/>
      <c r="H69" s="17" t="n"/>
      <c r="I69" s="7">
        <f>IF(AND(G69="",H69=""),"",Paramètres!$B$5+SUM(G$5:G69)-SUM(H$5:H69))</f>
        <v/>
      </c>
      <c r="J69" s="12">
        <f>IF(A69="","",MONTH(A69))</f>
        <v/>
      </c>
    </row>
    <row r="70">
      <c r="A70" s="18" t="n"/>
      <c r="B70" s="15" t="n"/>
      <c r="C70" s="15" t="n"/>
      <c r="D70" s="15" t="n"/>
      <c r="E70" s="15" t="n"/>
      <c r="F70" s="15" t="n"/>
      <c r="G70" s="17" t="n"/>
      <c r="H70" s="17" t="n"/>
      <c r="I70" s="7">
        <f>IF(AND(G70="",H70=""),"",Paramètres!$B$5+SUM(G$5:G70)-SUM(H$5:H70))</f>
        <v/>
      </c>
      <c r="J70" s="12">
        <f>IF(A70="","",MONTH(A70))</f>
        <v/>
      </c>
    </row>
    <row r="71">
      <c r="A71" s="18" t="n"/>
      <c r="B71" s="15" t="n"/>
      <c r="C71" s="15" t="n"/>
      <c r="D71" s="15" t="n"/>
      <c r="E71" s="15" t="n"/>
      <c r="F71" s="15" t="n"/>
      <c r="G71" s="17" t="n"/>
      <c r="H71" s="17" t="n"/>
      <c r="I71" s="7">
        <f>IF(AND(G71="",H71=""),"",Paramètres!$B$5+SUM(G$5:G71)-SUM(H$5:H71))</f>
        <v/>
      </c>
      <c r="J71" s="12">
        <f>IF(A71="","",MONTH(A71))</f>
        <v/>
      </c>
    </row>
    <row r="72">
      <c r="A72" s="18" t="n"/>
      <c r="B72" s="15" t="n"/>
      <c r="C72" s="15" t="n"/>
      <c r="D72" s="15" t="n"/>
      <c r="E72" s="15" t="n"/>
      <c r="F72" s="15" t="n"/>
      <c r="G72" s="17" t="n"/>
      <c r="H72" s="17" t="n"/>
      <c r="I72" s="7">
        <f>IF(AND(G72="",H72=""),"",Paramètres!$B$5+SUM(G$5:G72)-SUM(H$5:H72))</f>
        <v/>
      </c>
      <c r="J72" s="12">
        <f>IF(A72="","",MONTH(A72))</f>
        <v/>
      </c>
    </row>
    <row r="73">
      <c r="A73" s="18" t="n"/>
      <c r="B73" s="15" t="n"/>
      <c r="C73" s="15" t="n"/>
      <c r="D73" s="15" t="n"/>
      <c r="E73" s="15" t="n"/>
      <c r="F73" s="15" t="n"/>
      <c r="G73" s="17" t="n"/>
      <c r="H73" s="17" t="n"/>
      <c r="I73" s="7">
        <f>IF(AND(G73="",H73=""),"",Paramètres!$B$5+SUM(G$5:G73)-SUM(H$5:H73))</f>
        <v/>
      </c>
      <c r="J73" s="12">
        <f>IF(A73="","",MONTH(A73))</f>
        <v/>
      </c>
    </row>
    <row r="74">
      <c r="A74" s="18" t="n"/>
      <c r="B74" s="15" t="n"/>
      <c r="C74" s="15" t="n"/>
      <c r="D74" s="15" t="n"/>
      <c r="E74" s="15" t="n"/>
      <c r="F74" s="15" t="n"/>
      <c r="G74" s="17" t="n"/>
      <c r="H74" s="17" t="n"/>
      <c r="I74" s="7">
        <f>IF(AND(G74="",H74=""),"",Paramètres!$B$5+SUM(G$5:G74)-SUM(H$5:H74))</f>
        <v/>
      </c>
      <c r="J74" s="12">
        <f>IF(A74="","",MONTH(A74))</f>
        <v/>
      </c>
    </row>
    <row r="75">
      <c r="A75" s="18" t="n"/>
      <c r="B75" s="15" t="n"/>
      <c r="C75" s="15" t="n"/>
      <c r="D75" s="15" t="n"/>
      <c r="E75" s="15" t="n"/>
      <c r="F75" s="15" t="n"/>
      <c r="G75" s="17" t="n"/>
      <c r="H75" s="17" t="n"/>
      <c r="I75" s="7">
        <f>IF(AND(G75="",H75=""),"",Paramètres!$B$5+SUM(G$5:G75)-SUM(H$5:H75))</f>
        <v/>
      </c>
      <c r="J75" s="12">
        <f>IF(A75="","",MONTH(A75))</f>
        <v/>
      </c>
    </row>
    <row r="76">
      <c r="A76" s="18" t="n"/>
      <c r="B76" s="15" t="n"/>
      <c r="C76" s="15" t="n"/>
      <c r="D76" s="15" t="n"/>
      <c r="E76" s="15" t="n"/>
      <c r="F76" s="15" t="n"/>
      <c r="G76" s="17" t="n"/>
      <c r="H76" s="17" t="n"/>
      <c r="I76" s="7">
        <f>IF(AND(G76="",H76=""),"",Paramètres!$B$5+SUM(G$5:G76)-SUM(H$5:H76))</f>
        <v/>
      </c>
      <c r="J76" s="12">
        <f>IF(A76="","",MONTH(A76))</f>
        <v/>
      </c>
    </row>
    <row r="77">
      <c r="A77" s="18" t="n"/>
      <c r="B77" s="15" t="n"/>
      <c r="C77" s="15" t="n"/>
      <c r="D77" s="15" t="n"/>
      <c r="E77" s="15" t="n"/>
      <c r="F77" s="15" t="n"/>
      <c r="G77" s="17" t="n"/>
      <c r="H77" s="17" t="n"/>
      <c r="I77" s="7">
        <f>IF(AND(G77="",H77=""),"",Paramètres!$B$5+SUM(G$5:G77)-SUM(H$5:H77))</f>
        <v/>
      </c>
      <c r="J77" s="12">
        <f>IF(A77="","",MONTH(A77))</f>
        <v/>
      </c>
    </row>
    <row r="78">
      <c r="A78" s="18" t="n"/>
      <c r="B78" s="15" t="n"/>
      <c r="C78" s="15" t="n"/>
      <c r="D78" s="15" t="n"/>
      <c r="E78" s="15" t="n"/>
      <c r="F78" s="15" t="n"/>
      <c r="G78" s="17" t="n"/>
      <c r="H78" s="17" t="n"/>
      <c r="I78" s="7">
        <f>IF(AND(G78="",H78=""),"",Paramètres!$B$5+SUM(G$5:G78)-SUM(H$5:H78))</f>
        <v/>
      </c>
      <c r="J78" s="12">
        <f>IF(A78="","",MONTH(A78))</f>
        <v/>
      </c>
    </row>
    <row r="79">
      <c r="A79" s="18" t="n"/>
      <c r="B79" s="15" t="n"/>
      <c r="C79" s="15" t="n"/>
      <c r="D79" s="15" t="n"/>
      <c r="E79" s="15" t="n"/>
      <c r="F79" s="15" t="n"/>
      <c r="G79" s="17" t="n"/>
      <c r="H79" s="17" t="n"/>
      <c r="I79" s="7">
        <f>IF(AND(G79="",H79=""),"",Paramètres!$B$5+SUM(G$5:G79)-SUM(H$5:H79))</f>
        <v/>
      </c>
      <c r="J79" s="12">
        <f>IF(A79="","",MONTH(A79))</f>
        <v/>
      </c>
    </row>
    <row r="80">
      <c r="A80" s="18" t="n"/>
      <c r="B80" s="15" t="n"/>
      <c r="C80" s="15" t="n"/>
      <c r="D80" s="15" t="n"/>
      <c r="E80" s="15" t="n"/>
      <c r="F80" s="15" t="n"/>
      <c r="G80" s="17" t="n"/>
      <c r="H80" s="17" t="n"/>
      <c r="I80" s="7">
        <f>IF(AND(G80="",H80=""),"",Paramètres!$B$5+SUM(G$5:G80)-SUM(H$5:H80))</f>
        <v/>
      </c>
      <c r="J80" s="12">
        <f>IF(A80="","",MONTH(A80))</f>
        <v/>
      </c>
    </row>
    <row r="81">
      <c r="A81" s="18" t="n"/>
      <c r="B81" s="15" t="n"/>
      <c r="C81" s="15" t="n"/>
      <c r="D81" s="15" t="n"/>
      <c r="E81" s="15" t="n"/>
      <c r="F81" s="15" t="n"/>
      <c r="G81" s="17" t="n"/>
      <c r="H81" s="17" t="n"/>
      <c r="I81" s="7">
        <f>IF(AND(G81="",H81=""),"",Paramètres!$B$5+SUM(G$5:G81)-SUM(H$5:H81))</f>
        <v/>
      </c>
      <c r="J81" s="12">
        <f>IF(A81="","",MONTH(A81))</f>
        <v/>
      </c>
    </row>
    <row r="82">
      <c r="A82" s="18" t="n"/>
      <c r="B82" s="15" t="n"/>
      <c r="C82" s="15" t="n"/>
      <c r="D82" s="15" t="n"/>
      <c r="E82" s="15" t="n"/>
      <c r="F82" s="15" t="n"/>
      <c r="G82" s="17" t="n"/>
      <c r="H82" s="17" t="n"/>
      <c r="I82" s="7">
        <f>IF(AND(G82="",H82=""),"",Paramètres!$B$5+SUM(G$5:G82)-SUM(H$5:H82))</f>
        <v/>
      </c>
      <c r="J82" s="12">
        <f>IF(A82="","",MONTH(A82))</f>
        <v/>
      </c>
    </row>
    <row r="83">
      <c r="A83" s="18" t="n"/>
      <c r="B83" s="15" t="n"/>
      <c r="C83" s="15" t="n"/>
      <c r="D83" s="15" t="n"/>
      <c r="E83" s="15" t="n"/>
      <c r="F83" s="15" t="n"/>
      <c r="G83" s="17" t="n"/>
      <c r="H83" s="17" t="n"/>
      <c r="I83" s="7">
        <f>IF(AND(G83="",H83=""),"",Paramètres!$B$5+SUM(G$5:G83)-SUM(H$5:H83))</f>
        <v/>
      </c>
      <c r="J83" s="12">
        <f>IF(A83="","",MONTH(A83))</f>
        <v/>
      </c>
    </row>
    <row r="84">
      <c r="A84" s="18" t="n"/>
      <c r="B84" s="15" t="n"/>
      <c r="C84" s="15" t="n"/>
      <c r="D84" s="15" t="n"/>
      <c r="E84" s="15" t="n"/>
      <c r="F84" s="15" t="n"/>
      <c r="G84" s="17" t="n"/>
      <c r="H84" s="17" t="n"/>
      <c r="I84" s="7">
        <f>IF(AND(G84="",H84=""),"",Paramètres!$B$5+SUM(G$5:G84)-SUM(H$5:H84))</f>
        <v/>
      </c>
      <c r="J84" s="12">
        <f>IF(A84="","",MONTH(A84))</f>
        <v/>
      </c>
    </row>
    <row r="85">
      <c r="A85" s="18" t="n"/>
      <c r="B85" s="15" t="n"/>
      <c r="C85" s="15" t="n"/>
      <c r="D85" s="15" t="n"/>
      <c r="E85" s="15" t="n"/>
      <c r="F85" s="15" t="n"/>
      <c r="G85" s="17" t="n"/>
      <c r="H85" s="17" t="n"/>
      <c r="I85" s="7">
        <f>IF(AND(G85="",H85=""),"",Paramètres!$B$5+SUM(G$5:G85)-SUM(H$5:H85))</f>
        <v/>
      </c>
      <c r="J85" s="12">
        <f>IF(A85="","",MONTH(A85))</f>
        <v/>
      </c>
    </row>
    <row r="86">
      <c r="A86" s="18" t="n"/>
      <c r="B86" s="15" t="n"/>
      <c r="C86" s="15" t="n"/>
      <c r="D86" s="15" t="n"/>
      <c r="E86" s="15" t="n"/>
      <c r="F86" s="15" t="n"/>
      <c r="G86" s="17" t="n"/>
      <c r="H86" s="17" t="n"/>
      <c r="I86" s="7">
        <f>IF(AND(G86="",H86=""),"",Paramètres!$B$5+SUM(G$5:G86)-SUM(H$5:H86))</f>
        <v/>
      </c>
      <c r="J86" s="12">
        <f>IF(A86="","",MONTH(A86))</f>
        <v/>
      </c>
    </row>
    <row r="87">
      <c r="A87" s="18" t="n"/>
      <c r="B87" s="15" t="n"/>
      <c r="C87" s="15" t="n"/>
      <c r="D87" s="15" t="n"/>
      <c r="E87" s="15" t="n"/>
      <c r="F87" s="15" t="n"/>
      <c r="G87" s="17" t="n"/>
      <c r="H87" s="17" t="n"/>
      <c r="I87" s="7">
        <f>IF(AND(G87="",H87=""),"",Paramètres!$B$5+SUM(G$5:G87)-SUM(H$5:H87))</f>
        <v/>
      </c>
      <c r="J87" s="12">
        <f>IF(A87="","",MONTH(A87))</f>
        <v/>
      </c>
    </row>
    <row r="88">
      <c r="A88" s="18" t="n"/>
      <c r="B88" s="15" t="n"/>
      <c r="C88" s="15" t="n"/>
      <c r="D88" s="15" t="n"/>
      <c r="E88" s="15" t="n"/>
      <c r="F88" s="15" t="n"/>
      <c r="G88" s="17" t="n"/>
      <c r="H88" s="17" t="n"/>
      <c r="I88" s="7">
        <f>IF(AND(G88="",H88=""),"",Paramètres!$B$5+SUM(G$5:G88)-SUM(H$5:H88))</f>
        <v/>
      </c>
      <c r="J88" s="12">
        <f>IF(A88="","",MONTH(A88))</f>
        <v/>
      </c>
    </row>
    <row r="89">
      <c r="A89" s="18" t="n"/>
      <c r="B89" s="15" t="n"/>
      <c r="C89" s="15" t="n"/>
      <c r="D89" s="15" t="n"/>
      <c r="E89" s="15" t="n"/>
      <c r="F89" s="15" t="n"/>
      <c r="G89" s="17" t="n"/>
      <c r="H89" s="17" t="n"/>
      <c r="I89" s="7">
        <f>IF(AND(G89="",H89=""),"",Paramètres!$B$5+SUM(G$5:G89)-SUM(H$5:H89))</f>
        <v/>
      </c>
      <c r="J89" s="12">
        <f>IF(A89="","",MONTH(A89))</f>
        <v/>
      </c>
    </row>
    <row r="90">
      <c r="A90" s="18" t="n"/>
      <c r="B90" s="15" t="n"/>
      <c r="C90" s="15" t="n"/>
      <c r="D90" s="15" t="n"/>
      <c r="E90" s="15" t="n"/>
      <c r="F90" s="15" t="n"/>
      <c r="G90" s="17" t="n"/>
      <c r="H90" s="17" t="n"/>
      <c r="I90" s="7">
        <f>IF(AND(G90="",H90=""),"",Paramètres!$B$5+SUM(G$5:G90)-SUM(H$5:H90))</f>
        <v/>
      </c>
      <c r="J90" s="12">
        <f>IF(A90="","",MONTH(A90))</f>
        <v/>
      </c>
    </row>
    <row r="91">
      <c r="A91" s="18" t="n"/>
      <c r="B91" s="15" t="n"/>
      <c r="C91" s="15" t="n"/>
      <c r="D91" s="15" t="n"/>
      <c r="E91" s="15" t="n"/>
      <c r="F91" s="15" t="n"/>
      <c r="G91" s="17" t="n"/>
      <c r="H91" s="17" t="n"/>
      <c r="I91" s="7">
        <f>IF(AND(G91="",H91=""),"",Paramètres!$B$5+SUM(G$5:G91)-SUM(H$5:H91))</f>
        <v/>
      </c>
      <c r="J91" s="12">
        <f>IF(A91="","",MONTH(A91))</f>
        <v/>
      </c>
    </row>
    <row r="92">
      <c r="A92" s="18" t="n"/>
      <c r="B92" s="15" t="n"/>
      <c r="C92" s="15" t="n"/>
      <c r="D92" s="15" t="n"/>
      <c r="E92" s="15" t="n"/>
      <c r="F92" s="15" t="n"/>
      <c r="G92" s="17" t="n"/>
      <c r="H92" s="17" t="n"/>
      <c r="I92" s="7">
        <f>IF(AND(G92="",H92=""),"",Paramètres!$B$5+SUM(G$5:G92)-SUM(H$5:H92))</f>
        <v/>
      </c>
      <c r="J92" s="12">
        <f>IF(A92="","",MONTH(A92))</f>
        <v/>
      </c>
    </row>
    <row r="93">
      <c r="A93" s="18" t="n"/>
      <c r="B93" s="15" t="n"/>
      <c r="C93" s="15" t="n"/>
      <c r="D93" s="15" t="n"/>
      <c r="E93" s="15" t="n"/>
      <c r="F93" s="15" t="n"/>
      <c r="G93" s="17" t="n"/>
      <c r="H93" s="17" t="n"/>
      <c r="I93" s="7">
        <f>IF(AND(G93="",H93=""),"",Paramètres!$B$5+SUM(G$5:G93)-SUM(H$5:H93))</f>
        <v/>
      </c>
      <c r="J93" s="12">
        <f>IF(A93="","",MONTH(A93))</f>
        <v/>
      </c>
    </row>
    <row r="94">
      <c r="A94" s="18" t="n"/>
      <c r="B94" s="15" t="n"/>
      <c r="C94" s="15" t="n"/>
      <c r="D94" s="15" t="n"/>
      <c r="E94" s="15" t="n"/>
      <c r="F94" s="15" t="n"/>
      <c r="G94" s="17" t="n"/>
      <c r="H94" s="17" t="n"/>
      <c r="I94" s="7">
        <f>IF(AND(G94="",H94=""),"",Paramètres!$B$5+SUM(G$5:G94)-SUM(H$5:H94))</f>
        <v/>
      </c>
      <c r="J94" s="12">
        <f>IF(A94="","",MONTH(A94))</f>
        <v/>
      </c>
    </row>
    <row r="95">
      <c r="A95" s="18" t="n"/>
      <c r="B95" s="15" t="n"/>
      <c r="C95" s="15" t="n"/>
      <c r="D95" s="15" t="n"/>
      <c r="E95" s="15" t="n"/>
      <c r="F95" s="15" t="n"/>
      <c r="G95" s="17" t="n"/>
      <c r="H95" s="17" t="n"/>
      <c r="I95" s="7">
        <f>IF(AND(G95="",H95=""),"",Paramètres!$B$5+SUM(G$5:G95)-SUM(H$5:H95))</f>
        <v/>
      </c>
      <c r="J95" s="12">
        <f>IF(A95="","",MONTH(A95))</f>
        <v/>
      </c>
    </row>
    <row r="96">
      <c r="A96" s="18" t="n"/>
      <c r="B96" s="15" t="n"/>
      <c r="C96" s="15" t="n"/>
      <c r="D96" s="15" t="n"/>
      <c r="E96" s="15" t="n"/>
      <c r="F96" s="15" t="n"/>
      <c r="G96" s="17" t="n"/>
      <c r="H96" s="17" t="n"/>
      <c r="I96" s="7">
        <f>IF(AND(G96="",H96=""),"",Paramètres!$B$5+SUM(G$5:G96)-SUM(H$5:H96))</f>
        <v/>
      </c>
      <c r="J96" s="12">
        <f>IF(A96="","",MONTH(A96))</f>
        <v/>
      </c>
    </row>
    <row r="97">
      <c r="A97" s="18" t="n"/>
      <c r="B97" s="15" t="n"/>
      <c r="C97" s="15" t="n"/>
      <c r="D97" s="15" t="n"/>
      <c r="E97" s="15" t="n"/>
      <c r="F97" s="15" t="n"/>
      <c r="G97" s="17" t="n"/>
      <c r="H97" s="17" t="n"/>
      <c r="I97" s="7">
        <f>IF(AND(G97="",H97=""),"",Paramètres!$B$5+SUM(G$5:G97)-SUM(H$5:H97))</f>
        <v/>
      </c>
      <c r="J97" s="12">
        <f>IF(A97="","",MONTH(A97))</f>
        <v/>
      </c>
    </row>
    <row r="98">
      <c r="A98" s="18" t="n"/>
      <c r="B98" s="15" t="n"/>
      <c r="C98" s="15" t="n"/>
      <c r="D98" s="15" t="n"/>
      <c r="E98" s="15" t="n"/>
      <c r="F98" s="15" t="n"/>
      <c r="G98" s="17" t="n"/>
      <c r="H98" s="17" t="n"/>
      <c r="I98" s="7">
        <f>IF(AND(G98="",H98=""),"",Paramètres!$B$5+SUM(G$5:G98)-SUM(H$5:H98))</f>
        <v/>
      </c>
      <c r="J98" s="12">
        <f>IF(A98="","",MONTH(A98))</f>
        <v/>
      </c>
    </row>
    <row r="99">
      <c r="A99" s="18" t="n"/>
      <c r="B99" s="15" t="n"/>
      <c r="C99" s="15" t="n"/>
      <c r="D99" s="15" t="n"/>
      <c r="E99" s="15" t="n"/>
      <c r="F99" s="15" t="n"/>
      <c r="G99" s="17" t="n"/>
      <c r="H99" s="17" t="n"/>
      <c r="I99" s="7">
        <f>IF(AND(G99="",H99=""),"",Paramètres!$B$5+SUM(G$5:G99)-SUM(H$5:H99))</f>
        <v/>
      </c>
      <c r="J99" s="12">
        <f>IF(A99="","",MONTH(A99))</f>
        <v/>
      </c>
    </row>
    <row r="100">
      <c r="A100" s="18" t="n"/>
      <c r="B100" s="15" t="n"/>
      <c r="C100" s="15" t="n"/>
      <c r="D100" s="15" t="n"/>
      <c r="E100" s="15" t="n"/>
      <c r="F100" s="15" t="n"/>
      <c r="G100" s="17" t="n"/>
      <c r="H100" s="17" t="n"/>
      <c r="I100" s="7">
        <f>IF(AND(G100="",H100=""),"",Paramètres!$B$5+SUM(G$5:G100)-SUM(H$5:H100))</f>
        <v/>
      </c>
      <c r="J100" s="12">
        <f>IF(A100="","",MONTH(A100))</f>
        <v/>
      </c>
    </row>
    <row r="101">
      <c r="A101" s="18" t="n"/>
      <c r="B101" s="15" t="n"/>
      <c r="C101" s="15" t="n"/>
      <c r="D101" s="15" t="n"/>
      <c r="E101" s="15" t="n"/>
      <c r="F101" s="15" t="n"/>
      <c r="G101" s="17" t="n"/>
      <c r="H101" s="17" t="n"/>
      <c r="I101" s="7">
        <f>IF(AND(G101="",H101=""),"",Paramètres!$B$5+SUM(G$5:G101)-SUM(H$5:H101))</f>
        <v/>
      </c>
      <c r="J101" s="12">
        <f>IF(A101="","",MONTH(A101))</f>
        <v/>
      </c>
    </row>
    <row r="102">
      <c r="A102" s="18" t="n"/>
      <c r="B102" s="15" t="n"/>
      <c r="C102" s="15" t="n"/>
      <c r="D102" s="15" t="n"/>
      <c r="E102" s="15" t="n"/>
      <c r="F102" s="15" t="n"/>
      <c r="G102" s="17" t="n"/>
      <c r="H102" s="17" t="n"/>
      <c r="I102" s="7">
        <f>IF(AND(G102="",H102=""),"",Paramètres!$B$5+SUM(G$5:G102)-SUM(H$5:H102))</f>
        <v/>
      </c>
      <c r="J102" s="12">
        <f>IF(A102="","",MONTH(A102))</f>
        <v/>
      </c>
    </row>
    <row r="103">
      <c r="A103" s="18" t="n"/>
      <c r="B103" s="15" t="n"/>
      <c r="C103" s="15" t="n"/>
      <c r="D103" s="15" t="n"/>
      <c r="E103" s="15" t="n"/>
      <c r="F103" s="15" t="n"/>
      <c r="G103" s="17" t="n"/>
      <c r="H103" s="17" t="n"/>
      <c r="I103" s="7">
        <f>IF(AND(G103="",H103=""),"",Paramètres!$B$5+SUM(G$5:G103)-SUM(H$5:H103))</f>
        <v/>
      </c>
      <c r="J103" s="12">
        <f>IF(A103="","",MONTH(A103))</f>
        <v/>
      </c>
    </row>
    <row r="104">
      <c r="A104" s="18" t="n"/>
      <c r="B104" s="15" t="n"/>
      <c r="C104" s="15" t="n"/>
      <c r="D104" s="15" t="n"/>
      <c r="E104" s="15" t="n"/>
      <c r="F104" s="15" t="n"/>
      <c r="G104" s="17" t="n"/>
      <c r="H104" s="17" t="n"/>
      <c r="I104" s="7">
        <f>IF(AND(G104="",H104=""),"",Paramètres!$B$5+SUM(G$5:G104)-SUM(H$5:H104))</f>
        <v/>
      </c>
      <c r="J104" s="12">
        <f>IF(A104="","",MONTH(A104))</f>
        <v/>
      </c>
    </row>
    <row r="105">
      <c r="A105" s="18" t="n"/>
      <c r="B105" s="15" t="n"/>
      <c r="C105" s="15" t="n"/>
      <c r="D105" s="15" t="n"/>
      <c r="E105" s="15" t="n"/>
      <c r="F105" s="15" t="n"/>
      <c r="G105" s="17" t="n"/>
      <c r="H105" s="17" t="n"/>
      <c r="I105" s="7">
        <f>IF(AND(G105="",H105=""),"",Paramètres!$B$5+SUM(G$5:G105)-SUM(H$5:H105))</f>
        <v/>
      </c>
      <c r="J105" s="12">
        <f>IF(A105="","",MONTH(A105))</f>
        <v/>
      </c>
    </row>
    <row r="106">
      <c r="A106" s="18" t="n"/>
      <c r="B106" s="15" t="n"/>
      <c r="C106" s="15" t="n"/>
      <c r="D106" s="15" t="n"/>
      <c r="E106" s="15" t="n"/>
      <c r="F106" s="15" t="n"/>
      <c r="G106" s="17" t="n"/>
      <c r="H106" s="17" t="n"/>
      <c r="I106" s="7">
        <f>IF(AND(G106="",H106=""),"",Paramètres!$B$5+SUM(G$5:G106)-SUM(H$5:H106))</f>
        <v/>
      </c>
      <c r="J106" s="12">
        <f>IF(A106="","",MONTH(A106))</f>
        <v/>
      </c>
    </row>
    <row r="107">
      <c r="A107" s="18" t="n"/>
      <c r="B107" s="15" t="n"/>
      <c r="C107" s="15" t="n"/>
      <c r="D107" s="15" t="n"/>
      <c r="E107" s="15" t="n"/>
      <c r="F107" s="15" t="n"/>
      <c r="G107" s="17" t="n"/>
      <c r="H107" s="17" t="n"/>
      <c r="I107" s="7">
        <f>IF(AND(G107="",H107=""),"",Paramètres!$B$5+SUM(G$5:G107)-SUM(H$5:H107))</f>
        <v/>
      </c>
      <c r="J107" s="12">
        <f>IF(A107="","",MONTH(A107))</f>
        <v/>
      </c>
    </row>
    <row r="108">
      <c r="A108" s="18" t="n"/>
      <c r="B108" s="15" t="n"/>
      <c r="C108" s="15" t="n"/>
      <c r="D108" s="15" t="n"/>
      <c r="E108" s="15" t="n"/>
      <c r="F108" s="15" t="n"/>
      <c r="G108" s="17" t="n"/>
      <c r="H108" s="17" t="n"/>
      <c r="I108" s="7">
        <f>IF(AND(G108="",H108=""),"",Paramètres!$B$5+SUM(G$5:G108)-SUM(H$5:H108))</f>
        <v/>
      </c>
      <c r="J108" s="12">
        <f>IF(A108="","",MONTH(A108))</f>
        <v/>
      </c>
    </row>
    <row r="109">
      <c r="A109" s="18" t="n"/>
      <c r="B109" s="15" t="n"/>
      <c r="C109" s="15" t="n"/>
      <c r="D109" s="15" t="n"/>
      <c r="E109" s="15" t="n"/>
      <c r="F109" s="15" t="n"/>
      <c r="G109" s="17" t="n"/>
      <c r="H109" s="17" t="n"/>
      <c r="I109" s="7">
        <f>IF(AND(G109="",H109=""),"",Paramètres!$B$5+SUM(G$5:G109)-SUM(H$5:H109))</f>
        <v/>
      </c>
      <c r="J109" s="12">
        <f>IF(A109="","",MONTH(A109))</f>
        <v/>
      </c>
    </row>
    <row r="110">
      <c r="A110" s="18" t="n"/>
      <c r="B110" s="15" t="n"/>
      <c r="C110" s="15" t="n"/>
      <c r="D110" s="15" t="n"/>
      <c r="E110" s="15" t="n"/>
      <c r="F110" s="15" t="n"/>
      <c r="G110" s="17" t="n"/>
      <c r="H110" s="17" t="n"/>
      <c r="I110" s="7">
        <f>IF(AND(G110="",H110=""),"",Paramètres!$B$5+SUM(G$5:G110)-SUM(H$5:H110))</f>
        <v/>
      </c>
      <c r="J110" s="12">
        <f>IF(A110="","",MONTH(A110))</f>
        <v/>
      </c>
    </row>
    <row r="111">
      <c r="A111" s="18" t="n"/>
      <c r="B111" s="15" t="n"/>
      <c r="C111" s="15" t="n"/>
      <c r="D111" s="15" t="n"/>
      <c r="E111" s="15" t="n"/>
      <c r="F111" s="15" t="n"/>
      <c r="G111" s="17" t="n"/>
      <c r="H111" s="17" t="n"/>
      <c r="I111" s="7">
        <f>IF(AND(G111="",H111=""),"",Paramètres!$B$5+SUM(G$5:G111)-SUM(H$5:H111))</f>
        <v/>
      </c>
      <c r="J111" s="12">
        <f>IF(A111="","",MONTH(A111))</f>
        <v/>
      </c>
    </row>
    <row r="112">
      <c r="A112" s="18" t="n"/>
      <c r="B112" s="15" t="n"/>
      <c r="C112" s="15" t="n"/>
      <c r="D112" s="15" t="n"/>
      <c r="E112" s="15" t="n"/>
      <c r="F112" s="15" t="n"/>
      <c r="G112" s="17" t="n"/>
      <c r="H112" s="17" t="n"/>
      <c r="I112" s="7">
        <f>IF(AND(G112="",H112=""),"",Paramètres!$B$5+SUM(G$5:G112)-SUM(H$5:H112))</f>
        <v/>
      </c>
      <c r="J112" s="12">
        <f>IF(A112="","",MONTH(A112))</f>
        <v/>
      </c>
    </row>
    <row r="113">
      <c r="A113" s="18" t="n"/>
      <c r="B113" s="15" t="n"/>
      <c r="C113" s="15" t="n"/>
      <c r="D113" s="15" t="n"/>
      <c r="E113" s="15" t="n"/>
      <c r="F113" s="15" t="n"/>
      <c r="G113" s="17" t="n"/>
      <c r="H113" s="17" t="n"/>
      <c r="I113" s="7">
        <f>IF(AND(G113="",H113=""),"",Paramètres!$B$5+SUM(G$5:G113)-SUM(H$5:H113))</f>
        <v/>
      </c>
      <c r="J113" s="12">
        <f>IF(A113="","",MONTH(A113))</f>
        <v/>
      </c>
    </row>
    <row r="114">
      <c r="A114" s="18" t="n"/>
      <c r="B114" s="15" t="n"/>
      <c r="C114" s="15" t="n"/>
      <c r="D114" s="15" t="n"/>
      <c r="E114" s="15" t="n"/>
      <c r="F114" s="15" t="n"/>
      <c r="G114" s="17" t="n"/>
      <c r="H114" s="17" t="n"/>
      <c r="I114" s="7">
        <f>IF(AND(G114="",H114=""),"",Paramètres!$B$5+SUM(G$5:G114)-SUM(H$5:H114))</f>
        <v/>
      </c>
      <c r="J114" s="12">
        <f>IF(A114="","",MONTH(A114))</f>
        <v/>
      </c>
    </row>
    <row r="115">
      <c r="A115" s="18" t="n"/>
      <c r="B115" s="15" t="n"/>
      <c r="C115" s="15" t="n"/>
      <c r="D115" s="15" t="n"/>
      <c r="E115" s="15" t="n"/>
      <c r="F115" s="15" t="n"/>
      <c r="G115" s="17" t="n"/>
      <c r="H115" s="17" t="n"/>
      <c r="I115" s="7">
        <f>IF(AND(G115="",H115=""),"",Paramètres!$B$5+SUM(G$5:G115)-SUM(H$5:H115))</f>
        <v/>
      </c>
      <c r="J115" s="12">
        <f>IF(A115="","",MONTH(A115))</f>
        <v/>
      </c>
    </row>
    <row r="116">
      <c r="A116" s="18" t="n"/>
      <c r="B116" s="15" t="n"/>
      <c r="C116" s="15" t="n"/>
      <c r="D116" s="15" t="n"/>
      <c r="E116" s="15" t="n"/>
      <c r="F116" s="15" t="n"/>
      <c r="G116" s="17" t="n"/>
      <c r="H116" s="17" t="n"/>
      <c r="I116" s="7">
        <f>IF(AND(G116="",H116=""),"",Paramètres!$B$5+SUM(G$5:G116)-SUM(H$5:H116))</f>
        <v/>
      </c>
      <c r="J116" s="12">
        <f>IF(A116="","",MONTH(A116))</f>
        <v/>
      </c>
    </row>
    <row r="117">
      <c r="A117" s="18" t="n"/>
      <c r="B117" s="15" t="n"/>
      <c r="C117" s="15" t="n"/>
      <c r="D117" s="15" t="n"/>
      <c r="E117" s="15" t="n"/>
      <c r="F117" s="15" t="n"/>
      <c r="G117" s="17" t="n"/>
      <c r="H117" s="17" t="n"/>
      <c r="I117" s="7">
        <f>IF(AND(G117="",H117=""),"",Paramètres!$B$5+SUM(G$5:G117)-SUM(H$5:H117))</f>
        <v/>
      </c>
      <c r="J117" s="12">
        <f>IF(A117="","",MONTH(A117))</f>
        <v/>
      </c>
    </row>
    <row r="118">
      <c r="A118" s="18" t="n"/>
      <c r="B118" s="15" t="n"/>
      <c r="C118" s="15" t="n"/>
      <c r="D118" s="15" t="n"/>
      <c r="E118" s="15" t="n"/>
      <c r="F118" s="15" t="n"/>
      <c r="G118" s="17" t="n"/>
      <c r="H118" s="17" t="n"/>
      <c r="I118" s="7">
        <f>IF(AND(G118="",H118=""),"",Paramètres!$B$5+SUM(G$5:G118)-SUM(H$5:H118))</f>
        <v/>
      </c>
      <c r="J118" s="12">
        <f>IF(A118="","",MONTH(A118))</f>
        <v/>
      </c>
    </row>
    <row r="119">
      <c r="A119" s="18" t="n"/>
      <c r="B119" s="15" t="n"/>
      <c r="C119" s="15" t="n"/>
      <c r="D119" s="15" t="n"/>
      <c r="E119" s="15" t="n"/>
      <c r="F119" s="15" t="n"/>
      <c r="G119" s="17" t="n"/>
      <c r="H119" s="17" t="n"/>
      <c r="I119" s="7">
        <f>IF(AND(G119="",H119=""),"",Paramètres!$B$5+SUM(G$5:G119)-SUM(H$5:H119))</f>
        <v/>
      </c>
      <c r="J119" s="12">
        <f>IF(A119="","",MONTH(A119))</f>
        <v/>
      </c>
    </row>
    <row r="120">
      <c r="A120" s="18" t="n"/>
      <c r="B120" s="15" t="n"/>
      <c r="C120" s="15" t="n"/>
      <c r="D120" s="15" t="n"/>
      <c r="E120" s="15" t="n"/>
      <c r="F120" s="15" t="n"/>
      <c r="G120" s="17" t="n"/>
      <c r="H120" s="17" t="n"/>
      <c r="I120" s="7">
        <f>IF(AND(G120="",H120=""),"",Paramètres!$B$5+SUM(G$5:G120)-SUM(H$5:H120))</f>
        <v/>
      </c>
      <c r="J120" s="12">
        <f>IF(A120="","",MONTH(A120))</f>
        <v/>
      </c>
    </row>
    <row r="121">
      <c r="A121" s="18" t="n"/>
      <c r="B121" s="15" t="n"/>
      <c r="C121" s="15" t="n"/>
      <c r="D121" s="15" t="n"/>
      <c r="E121" s="15" t="n"/>
      <c r="F121" s="15" t="n"/>
      <c r="G121" s="17" t="n"/>
      <c r="H121" s="17" t="n"/>
      <c r="I121" s="7">
        <f>IF(AND(G121="",H121=""),"",Paramètres!$B$5+SUM(G$5:G121)-SUM(H$5:H121))</f>
        <v/>
      </c>
      <c r="J121" s="12">
        <f>IF(A121="","",MONTH(A121))</f>
        <v/>
      </c>
    </row>
    <row r="122">
      <c r="A122" s="18" t="n"/>
      <c r="B122" s="15" t="n"/>
      <c r="C122" s="15" t="n"/>
      <c r="D122" s="15" t="n"/>
      <c r="E122" s="15" t="n"/>
      <c r="F122" s="15" t="n"/>
      <c r="G122" s="17" t="n"/>
      <c r="H122" s="17" t="n"/>
      <c r="I122" s="7">
        <f>IF(AND(G122="",H122=""),"",Paramètres!$B$5+SUM(G$5:G122)-SUM(H$5:H122))</f>
        <v/>
      </c>
      <c r="J122" s="12">
        <f>IF(A122="","",MONTH(A122))</f>
        <v/>
      </c>
    </row>
    <row r="123">
      <c r="A123" s="18" t="n"/>
      <c r="B123" s="15" t="n"/>
      <c r="C123" s="15" t="n"/>
      <c r="D123" s="15" t="n"/>
      <c r="E123" s="15" t="n"/>
      <c r="F123" s="15" t="n"/>
      <c r="G123" s="17" t="n"/>
      <c r="H123" s="17" t="n"/>
      <c r="I123" s="7">
        <f>IF(AND(G123="",H123=""),"",Paramètres!$B$5+SUM(G$5:G123)-SUM(H$5:H123))</f>
        <v/>
      </c>
      <c r="J123" s="12">
        <f>IF(A123="","",MONTH(A123))</f>
        <v/>
      </c>
    </row>
    <row r="124">
      <c r="A124" s="18" t="n"/>
      <c r="B124" s="15" t="n"/>
      <c r="C124" s="15" t="n"/>
      <c r="D124" s="15" t="n"/>
      <c r="E124" s="15" t="n"/>
      <c r="F124" s="15" t="n"/>
      <c r="G124" s="17" t="n"/>
      <c r="H124" s="17" t="n"/>
      <c r="I124" s="7">
        <f>IF(AND(G124="",H124=""),"",Paramètres!$B$5+SUM(G$5:G124)-SUM(H$5:H124))</f>
        <v/>
      </c>
      <c r="J124" s="12">
        <f>IF(A124="","",MONTH(A124))</f>
        <v/>
      </c>
    </row>
    <row r="125">
      <c r="A125" s="18" t="n"/>
      <c r="B125" s="15" t="n"/>
      <c r="C125" s="15" t="n"/>
      <c r="D125" s="15" t="n"/>
      <c r="E125" s="15" t="n"/>
      <c r="F125" s="15" t="n"/>
      <c r="G125" s="17" t="n"/>
      <c r="H125" s="17" t="n"/>
      <c r="I125" s="7">
        <f>IF(AND(G125="",H125=""),"",Paramètres!$B$5+SUM(G$5:G125)-SUM(H$5:H125))</f>
        <v/>
      </c>
      <c r="J125" s="12">
        <f>IF(A125="","",MONTH(A125))</f>
        <v/>
      </c>
    </row>
    <row r="126">
      <c r="A126" s="18" t="n"/>
      <c r="B126" s="15" t="n"/>
      <c r="C126" s="15" t="n"/>
      <c r="D126" s="15" t="n"/>
      <c r="E126" s="15" t="n"/>
      <c r="F126" s="15" t="n"/>
      <c r="G126" s="17" t="n"/>
      <c r="H126" s="17" t="n"/>
      <c r="I126" s="7">
        <f>IF(AND(G126="",H126=""),"",Paramètres!$B$5+SUM(G$5:G126)-SUM(H$5:H126))</f>
        <v/>
      </c>
      <c r="J126" s="12">
        <f>IF(A126="","",MONTH(A126))</f>
        <v/>
      </c>
    </row>
    <row r="127">
      <c r="A127" s="18" t="n"/>
      <c r="B127" s="15" t="n"/>
      <c r="C127" s="15" t="n"/>
      <c r="D127" s="15" t="n"/>
      <c r="E127" s="15" t="n"/>
      <c r="F127" s="15" t="n"/>
      <c r="G127" s="17" t="n"/>
      <c r="H127" s="17" t="n"/>
      <c r="I127" s="7">
        <f>IF(AND(G127="",H127=""),"",Paramètres!$B$5+SUM(G$5:G127)-SUM(H$5:H127))</f>
        <v/>
      </c>
      <c r="J127" s="12">
        <f>IF(A127="","",MONTH(A127))</f>
        <v/>
      </c>
    </row>
    <row r="128">
      <c r="A128" s="18" t="n"/>
      <c r="B128" s="15" t="n"/>
      <c r="C128" s="15" t="n"/>
      <c r="D128" s="15" t="n"/>
      <c r="E128" s="15" t="n"/>
      <c r="F128" s="15" t="n"/>
      <c r="G128" s="17" t="n"/>
      <c r="H128" s="17" t="n"/>
      <c r="I128" s="7">
        <f>IF(AND(G128="",H128=""),"",Paramètres!$B$5+SUM(G$5:G128)-SUM(H$5:H128))</f>
        <v/>
      </c>
      <c r="J128" s="12">
        <f>IF(A128="","",MONTH(A128))</f>
        <v/>
      </c>
    </row>
    <row r="129">
      <c r="A129" s="18" t="n"/>
      <c r="B129" s="15" t="n"/>
      <c r="C129" s="15" t="n"/>
      <c r="D129" s="15" t="n"/>
      <c r="E129" s="15" t="n"/>
      <c r="F129" s="15" t="n"/>
      <c r="G129" s="17" t="n"/>
      <c r="H129" s="17" t="n"/>
      <c r="I129" s="7">
        <f>IF(AND(G129="",H129=""),"",Paramètres!$B$5+SUM(G$5:G129)-SUM(H$5:H129))</f>
        <v/>
      </c>
      <c r="J129" s="12">
        <f>IF(A129="","",MONTH(A129))</f>
        <v/>
      </c>
    </row>
    <row r="130">
      <c r="A130" s="18" t="n"/>
      <c r="B130" s="15" t="n"/>
      <c r="C130" s="15" t="n"/>
      <c r="D130" s="15" t="n"/>
      <c r="E130" s="15" t="n"/>
      <c r="F130" s="15" t="n"/>
      <c r="G130" s="17" t="n"/>
      <c r="H130" s="17" t="n"/>
      <c r="I130" s="7">
        <f>IF(AND(G130="",H130=""),"",Paramètres!$B$5+SUM(G$5:G130)-SUM(H$5:H130))</f>
        <v/>
      </c>
      <c r="J130" s="12">
        <f>IF(A130="","",MONTH(A130))</f>
        <v/>
      </c>
    </row>
    <row r="131">
      <c r="A131" s="18" t="n"/>
      <c r="B131" s="15" t="n"/>
      <c r="C131" s="15" t="n"/>
      <c r="D131" s="15" t="n"/>
      <c r="E131" s="15" t="n"/>
      <c r="F131" s="15" t="n"/>
      <c r="G131" s="17" t="n"/>
      <c r="H131" s="17" t="n"/>
      <c r="I131" s="7">
        <f>IF(AND(G131="",H131=""),"",Paramètres!$B$5+SUM(G$5:G131)-SUM(H$5:H131))</f>
        <v/>
      </c>
      <c r="J131" s="12">
        <f>IF(A131="","",MONTH(A131))</f>
        <v/>
      </c>
    </row>
    <row r="132">
      <c r="A132" s="18" t="n"/>
      <c r="B132" s="15" t="n"/>
      <c r="C132" s="15" t="n"/>
      <c r="D132" s="15" t="n"/>
      <c r="E132" s="15" t="n"/>
      <c r="F132" s="15" t="n"/>
      <c r="G132" s="17" t="n"/>
      <c r="H132" s="17" t="n"/>
      <c r="I132" s="7">
        <f>IF(AND(G132="",H132=""),"",Paramètres!$B$5+SUM(G$5:G132)-SUM(H$5:H132))</f>
        <v/>
      </c>
      <c r="J132" s="12">
        <f>IF(A132="","",MONTH(A132))</f>
        <v/>
      </c>
    </row>
    <row r="133">
      <c r="A133" s="18" t="n"/>
      <c r="B133" s="15" t="n"/>
      <c r="C133" s="15" t="n"/>
      <c r="D133" s="15" t="n"/>
      <c r="E133" s="15" t="n"/>
      <c r="F133" s="15" t="n"/>
      <c r="G133" s="17" t="n"/>
      <c r="H133" s="17" t="n"/>
      <c r="I133" s="7">
        <f>IF(AND(G133="",H133=""),"",Paramètres!$B$5+SUM(G$5:G133)-SUM(H$5:H133))</f>
        <v/>
      </c>
      <c r="J133" s="12">
        <f>IF(A133="","",MONTH(A133))</f>
        <v/>
      </c>
    </row>
    <row r="134">
      <c r="A134" s="18" t="n"/>
      <c r="B134" s="15" t="n"/>
      <c r="C134" s="15" t="n"/>
      <c r="D134" s="15" t="n"/>
      <c r="E134" s="15" t="n"/>
      <c r="F134" s="15" t="n"/>
      <c r="G134" s="17" t="n"/>
      <c r="H134" s="17" t="n"/>
      <c r="I134" s="7">
        <f>IF(AND(G134="",H134=""),"",Paramètres!$B$5+SUM(G$5:G134)-SUM(H$5:H134))</f>
        <v/>
      </c>
      <c r="J134" s="12">
        <f>IF(A134="","",MONTH(A134))</f>
        <v/>
      </c>
    </row>
    <row r="135">
      <c r="A135" s="18" t="n"/>
      <c r="B135" s="15" t="n"/>
      <c r="C135" s="15" t="n"/>
      <c r="D135" s="15" t="n"/>
      <c r="E135" s="15" t="n"/>
      <c r="F135" s="15" t="n"/>
      <c r="G135" s="17" t="n"/>
      <c r="H135" s="17" t="n"/>
      <c r="I135" s="7">
        <f>IF(AND(G135="",H135=""),"",Paramètres!$B$5+SUM(G$5:G135)-SUM(H$5:H135))</f>
        <v/>
      </c>
      <c r="J135" s="12">
        <f>IF(A135="","",MONTH(A135))</f>
        <v/>
      </c>
    </row>
    <row r="136">
      <c r="A136" s="18" t="n"/>
      <c r="B136" s="15" t="n"/>
      <c r="C136" s="15" t="n"/>
      <c r="D136" s="15" t="n"/>
      <c r="E136" s="15" t="n"/>
      <c r="F136" s="15" t="n"/>
      <c r="G136" s="17" t="n"/>
      <c r="H136" s="17" t="n"/>
      <c r="I136" s="7">
        <f>IF(AND(G136="",H136=""),"",Paramètres!$B$5+SUM(G$5:G136)-SUM(H$5:H136))</f>
        <v/>
      </c>
      <c r="J136" s="12">
        <f>IF(A136="","",MONTH(A136))</f>
        <v/>
      </c>
    </row>
    <row r="137">
      <c r="A137" s="18" t="n"/>
      <c r="B137" s="15" t="n"/>
      <c r="C137" s="15" t="n"/>
      <c r="D137" s="15" t="n"/>
      <c r="E137" s="15" t="n"/>
      <c r="F137" s="15" t="n"/>
      <c r="G137" s="17" t="n"/>
      <c r="H137" s="17" t="n"/>
      <c r="I137" s="7">
        <f>IF(AND(G137="",H137=""),"",Paramètres!$B$5+SUM(G$5:G137)-SUM(H$5:H137))</f>
        <v/>
      </c>
      <c r="J137" s="12">
        <f>IF(A137="","",MONTH(A137))</f>
        <v/>
      </c>
    </row>
    <row r="138">
      <c r="A138" s="18" t="n"/>
      <c r="B138" s="15" t="n"/>
      <c r="C138" s="15" t="n"/>
      <c r="D138" s="15" t="n"/>
      <c r="E138" s="15" t="n"/>
      <c r="F138" s="15" t="n"/>
      <c r="G138" s="17" t="n"/>
      <c r="H138" s="17" t="n"/>
      <c r="I138" s="7">
        <f>IF(AND(G138="",H138=""),"",Paramètres!$B$5+SUM(G$5:G138)-SUM(H$5:H138))</f>
        <v/>
      </c>
      <c r="J138" s="12">
        <f>IF(A138="","",MONTH(A138))</f>
        <v/>
      </c>
    </row>
    <row r="139">
      <c r="A139" s="18" t="n"/>
      <c r="B139" s="15" t="n"/>
      <c r="C139" s="15" t="n"/>
      <c r="D139" s="15" t="n"/>
      <c r="E139" s="15" t="n"/>
      <c r="F139" s="15" t="n"/>
      <c r="G139" s="17" t="n"/>
      <c r="H139" s="17" t="n"/>
      <c r="I139" s="7">
        <f>IF(AND(G139="",H139=""),"",Paramètres!$B$5+SUM(G$5:G139)-SUM(H$5:H139))</f>
        <v/>
      </c>
      <c r="J139" s="12">
        <f>IF(A139="","",MONTH(A139))</f>
        <v/>
      </c>
    </row>
    <row r="140">
      <c r="A140" s="18" t="n"/>
      <c r="B140" s="15" t="n"/>
      <c r="C140" s="15" t="n"/>
      <c r="D140" s="15" t="n"/>
      <c r="E140" s="15" t="n"/>
      <c r="F140" s="15" t="n"/>
      <c r="G140" s="17" t="n"/>
      <c r="H140" s="17" t="n"/>
      <c r="I140" s="7">
        <f>IF(AND(G140="",H140=""),"",Paramètres!$B$5+SUM(G$5:G140)-SUM(H$5:H140))</f>
        <v/>
      </c>
      <c r="J140" s="12">
        <f>IF(A140="","",MONTH(A140))</f>
        <v/>
      </c>
    </row>
    <row r="141">
      <c r="A141" s="18" t="n"/>
      <c r="B141" s="15" t="n"/>
      <c r="C141" s="15" t="n"/>
      <c r="D141" s="15" t="n"/>
      <c r="E141" s="15" t="n"/>
      <c r="F141" s="15" t="n"/>
      <c r="G141" s="17" t="n"/>
      <c r="H141" s="17" t="n"/>
      <c r="I141" s="7">
        <f>IF(AND(G141="",H141=""),"",Paramètres!$B$5+SUM(G$5:G141)-SUM(H$5:H141))</f>
        <v/>
      </c>
      <c r="J141" s="12">
        <f>IF(A141="","",MONTH(A141))</f>
        <v/>
      </c>
    </row>
    <row r="142">
      <c r="A142" s="18" t="n"/>
      <c r="B142" s="15" t="n"/>
      <c r="C142" s="15" t="n"/>
      <c r="D142" s="15" t="n"/>
      <c r="E142" s="15" t="n"/>
      <c r="F142" s="15" t="n"/>
      <c r="G142" s="17" t="n"/>
      <c r="H142" s="17" t="n"/>
      <c r="I142" s="7">
        <f>IF(AND(G142="",H142=""),"",Paramètres!$B$5+SUM(G$5:G142)-SUM(H$5:H142))</f>
        <v/>
      </c>
      <c r="J142" s="12">
        <f>IF(A142="","",MONTH(A142))</f>
        <v/>
      </c>
    </row>
    <row r="143">
      <c r="A143" s="18" t="n"/>
      <c r="B143" s="15" t="n"/>
      <c r="C143" s="15" t="n"/>
      <c r="D143" s="15" t="n"/>
      <c r="E143" s="15" t="n"/>
      <c r="F143" s="15" t="n"/>
      <c r="G143" s="17" t="n"/>
      <c r="H143" s="17" t="n"/>
      <c r="I143" s="7">
        <f>IF(AND(G143="",H143=""),"",Paramètres!$B$5+SUM(G$5:G143)-SUM(H$5:H143))</f>
        <v/>
      </c>
      <c r="J143" s="12">
        <f>IF(A143="","",MONTH(A143))</f>
        <v/>
      </c>
    </row>
    <row r="144">
      <c r="A144" s="18" t="n"/>
      <c r="B144" s="15" t="n"/>
      <c r="C144" s="15" t="n"/>
      <c r="D144" s="15" t="n"/>
      <c r="E144" s="15" t="n"/>
      <c r="F144" s="15" t="n"/>
      <c r="G144" s="17" t="n"/>
      <c r="H144" s="17" t="n"/>
      <c r="I144" s="7">
        <f>IF(AND(G144="",H144=""),"",Paramètres!$B$5+SUM(G$5:G144)-SUM(H$5:H144))</f>
        <v/>
      </c>
      <c r="J144" s="12">
        <f>IF(A144="","",MONTH(A144))</f>
        <v/>
      </c>
    </row>
    <row r="145">
      <c r="A145" s="18" t="n"/>
      <c r="B145" s="15" t="n"/>
      <c r="C145" s="15" t="n"/>
      <c r="D145" s="15" t="n"/>
      <c r="E145" s="15" t="n"/>
      <c r="F145" s="15" t="n"/>
      <c r="G145" s="17" t="n"/>
      <c r="H145" s="17" t="n"/>
      <c r="I145" s="7">
        <f>IF(AND(G145="",H145=""),"",Paramètres!$B$5+SUM(G$5:G145)-SUM(H$5:H145))</f>
        <v/>
      </c>
      <c r="J145" s="12">
        <f>IF(A145="","",MONTH(A145))</f>
        <v/>
      </c>
    </row>
    <row r="146">
      <c r="A146" s="18" t="n"/>
      <c r="B146" s="15" t="n"/>
      <c r="C146" s="15" t="n"/>
      <c r="D146" s="15" t="n"/>
      <c r="E146" s="15" t="n"/>
      <c r="F146" s="15" t="n"/>
      <c r="G146" s="17" t="n"/>
      <c r="H146" s="17" t="n"/>
      <c r="I146" s="7">
        <f>IF(AND(G146="",H146=""),"",Paramètres!$B$5+SUM(G$5:G146)-SUM(H$5:H146))</f>
        <v/>
      </c>
      <c r="J146" s="12">
        <f>IF(A146="","",MONTH(A146))</f>
        <v/>
      </c>
    </row>
    <row r="147">
      <c r="A147" s="18" t="n"/>
      <c r="B147" s="15" t="n"/>
      <c r="C147" s="15" t="n"/>
      <c r="D147" s="15" t="n"/>
      <c r="E147" s="15" t="n"/>
      <c r="F147" s="15" t="n"/>
      <c r="G147" s="17" t="n"/>
      <c r="H147" s="17" t="n"/>
      <c r="I147" s="7">
        <f>IF(AND(G147="",H147=""),"",Paramètres!$B$5+SUM(G$5:G147)-SUM(H$5:H147))</f>
        <v/>
      </c>
      <c r="J147" s="12">
        <f>IF(A147="","",MONTH(A147))</f>
        <v/>
      </c>
    </row>
    <row r="148">
      <c r="A148" s="18" t="n"/>
      <c r="B148" s="15" t="n"/>
      <c r="C148" s="15" t="n"/>
      <c r="D148" s="15" t="n"/>
      <c r="E148" s="15" t="n"/>
      <c r="F148" s="15" t="n"/>
      <c r="G148" s="17" t="n"/>
      <c r="H148" s="17" t="n"/>
      <c r="I148" s="7">
        <f>IF(AND(G148="",H148=""),"",Paramètres!$B$5+SUM(G$5:G148)-SUM(H$5:H148))</f>
        <v/>
      </c>
      <c r="J148" s="12">
        <f>IF(A148="","",MONTH(A148))</f>
        <v/>
      </c>
    </row>
    <row r="149">
      <c r="A149" s="18" t="n"/>
      <c r="B149" s="15" t="n"/>
      <c r="C149" s="15" t="n"/>
      <c r="D149" s="15" t="n"/>
      <c r="E149" s="15" t="n"/>
      <c r="F149" s="15" t="n"/>
      <c r="G149" s="17" t="n"/>
      <c r="H149" s="17" t="n"/>
      <c r="I149" s="7">
        <f>IF(AND(G149="",H149=""),"",Paramètres!$B$5+SUM(G$5:G149)-SUM(H$5:H149))</f>
        <v/>
      </c>
      <c r="J149" s="12">
        <f>IF(A149="","",MONTH(A149))</f>
        <v/>
      </c>
    </row>
    <row r="150">
      <c r="A150" s="18" t="n"/>
      <c r="B150" s="15" t="n"/>
      <c r="C150" s="15" t="n"/>
      <c r="D150" s="15" t="n"/>
      <c r="E150" s="15" t="n"/>
      <c r="F150" s="15" t="n"/>
      <c r="G150" s="17" t="n"/>
      <c r="H150" s="17" t="n"/>
      <c r="I150" s="7">
        <f>IF(AND(G150="",H150=""),"",Paramètres!$B$5+SUM(G$5:G150)-SUM(H$5:H150))</f>
        <v/>
      </c>
      <c r="J150" s="12">
        <f>IF(A150="","",MONTH(A150))</f>
        <v/>
      </c>
    </row>
    <row r="151">
      <c r="A151" s="18" t="n"/>
      <c r="B151" s="15" t="n"/>
      <c r="C151" s="15" t="n"/>
      <c r="D151" s="15" t="n"/>
      <c r="E151" s="15" t="n"/>
      <c r="F151" s="15" t="n"/>
      <c r="G151" s="17" t="n"/>
      <c r="H151" s="17" t="n"/>
      <c r="I151" s="7">
        <f>IF(AND(G151="",H151=""),"",Paramètres!$B$5+SUM(G$5:G151)-SUM(H$5:H151))</f>
        <v/>
      </c>
      <c r="J151" s="12">
        <f>IF(A151="","",MONTH(A151))</f>
        <v/>
      </c>
    </row>
    <row r="152">
      <c r="A152" s="18" t="n"/>
      <c r="B152" s="15" t="n"/>
      <c r="C152" s="15" t="n"/>
      <c r="D152" s="15" t="n"/>
      <c r="E152" s="15" t="n"/>
      <c r="F152" s="15" t="n"/>
      <c r="G152" s="17" t="n"/>
      <c r="H152" s="17" t="n"/>
      <c r="I152" s="7">
        <f>IF(AND(G152="",H152=""),"",Paramètres!$B$5+SUM(G$5:G152)-SUM(H$5:H152))</f>
        <v/>
      </c>
      <c r="J152" s="12">
        <f>IF(A152="","",MONTH(A152))</f>
        <v/>
      </c>
    </row>
    <row r="153">
      <c r="A153" s="18" t="n"/>
      <c r="B153" s="15" t="n"/>
      <c r="C153" s="15" t="n"/>
      <c r="D153" s="15" t="n"/>
      <c r="E153" s="15" t="n"/>
      <c r="F153" s="15" t="n"/>
      <c r="G153" s="17" t="n"/>
      <c r="H153" s="17" t="n"/>
      <c r="I153" s="7">
        <f>IF(AND(G153="",H153=""),"",Paramètres!$B$5+SUM(G$5:G153)-SUM(H$5:H153))</f>
        <v/>
      </c>
      <c r="J153" s="12">
        <f>IF(A153="","",MONTH(A153))</f>
        <v/>
      </c>
    </row>
    <row r="154">
      <c r="A154" s="18" t="n"/>
      <c r="B154" s="15" t="n"/>
      <c r="C154" s="15" t="n"/>
      <c r="D154" s="15" t="n"/>
      <c r="E154" s="15" t="n"/>
      <c r="F154" s="15" t="n"/>
      <c r="G154" s="17" t="n"/>
      <c r="H154" s="17" t="n"/>
      <c r="I154" s="7">
        <f>IF(AND(G154="",H154=""),"",Paramètres!$B$5+SUM(G$5:G154)-SUM(H$5:H154))</f>
        <v/>
      </c>
      <c r="J154" s="12">
        <f>IF(A154="","",MONTH(A154))</f>
        <v/>
      </c>
    </row>
    <row r="155">
      <c r="A155" s="18" t="n"/>
      <c r="B155" s="15" t="n"/>
      <c r="C155" s="15" t="n"/>
      <c r="D155" s="15" t="n"/>
      <c r="E155" s="15" t="n"/>
      <c r="F155" s="15" t="n"/>
      <c r="G155" s="17" t="n"/>
      <c r="H155" s="17" t="n"/>
      <c r="I155" s="7">
        <f>IF(AND(G155="",H155=""),"",Paramètres!$B$5+SUM(G$5:G155)-SUM(H$5:H155))</f>
        <v/>
      </c>
      <c r="J155" s="12">
        <f>IF(A155="","",MONTH(A155))</f>
        <v/>
      </c>
    </row>
    <row r="156">
      <c r="A156" s="18" t="n"/>
      <c r="B156" s="15" t="n"/>
      <c r="C156" s="15" t="n"/>
      <c r="D156" s="15" t="n"/>
      <c r="E156" s="15" t="n"/>
      <c r="F156" s="15" t="n"/>
      <c r="G156" s="17" t="n"/>
      <c r="H156" s="17" t="n"/>
      <c r="I156" s="7">
        <f>IF(AND(G156="",H156=""),"",Paramètres!$B$5+SUM(G$5:G156)-SUM(H$5:H156))</f>
        <v/>
      </c>
      <c r="J156" s="12">
        <f>IF(A156="","",MONTH(A156))</f>
        <v/>
      </c>
    </row>
    <row r="157">
      <c r="A157" s="18" t="n"/>
      <c r="B157" s="15" t="n"/>
      <c r="C157" s="15" t="n"/>
      <c r="D157" s="15" t="n"/>
      <c r="E157" s="15" t="n"/>
      <c r="F157" s="15" t="n"/>
      <c r="G157" s="17" t="n"/>
      <c r="H157" s="17" t="n"/>
      <c r="I157" s="7">
        <f>IF(AND(G157="",H157=""),"",Paramètres!$B$5+SUM(G$5:G157)-SUM(H$5:H157))</f>
        <v/>
      </c>
      <c r="J157" s="12">
        <f>IF(A157="","",MONTH(A157))</f>
        <v/>
      </c>
    </row>
    <row r="158">
      <c r="A158" s="18" t="n"/>
      <c r="B158" s="15" t="n"/>
      <c r="C158" s="15" t="n"/>
      <c r="D158" s="15" t="n"/>
      <c r="E158" s="15" t="n"/>
      <c r="F158" s="15" t="n"/>
      <c r="G158" s="17" t="n"/>
      <c r="H158" s="17" t="n"/>
      <c r="I158" s="7">
        <f>IF(AND(G158="",H158=""),"",Paramètres!$B$5+SUM(G$5:G158)-SUM(H$5:H158))</f>
        <v/>
      </c>
      <c r="J158" s="12">
        <f>IF(A158="","",MONTH(A158))</f>
        <v/>
      </c>
    </row>
    <row r="159">
      <c r="A159" s="18" t="n"/>
      <c r="B159" s="15" t="n"/>
      <c r="C159" s="15" t="n"/>
      <c r="D159" s="15" t="n"/>
      <c r="E159" s="15" t="n"/>
      <c r="F159" s="15" t="n"/>
      <c r="G159" s="17" t="n"/>
      <c r="H159" s="17" t="n"/>
      <c r="I159" s="7">
        <f>IF(AND(G159="",H159=""),"",Paramètres!$B$5+SUM(G$5:G159)-SUM(H$5:H159))</f>
        <v/>
      </c>
      <c r="J159" s="12">
        <f>IF(A159="","",MONTH(A159))</f>
        <v/>
      </c>
    </row>
    <row r="160">
      <c r="A160" s="18" t="n"/>
      <c r="B160" s="15" t="n"/>
      <c r="C160" s="15" t="n"/>
      <c r="D160" s="15" t="n"/>
      <c r="E160" s="15" t="n"/>
      <c r="F160" s="15" t="n"/>
      <c r="G160" s="17" t="n"/>
      <c r="H160" s="17" t="n"/>
      <c r="I160" s="7">
        <f>IF(AND(G160="",H160=""),"",Paramètres!$B$5+SUM(G$5:G160)-SUM(H$5:H160))</f>
        <v/>
      </c>
      <c r="J160" s="12">
        <f>IF(A160="","",MONTH(A160))</f>
        <v/>
      </c>
    </row>
    <row r="161">
      <c r="A161" s="18" t="n"/>
      <c r="B161" s="15" t="n"/>
      <c r="C161" s="15" t="n"/>
      <c r="D161" s="15" t="n"/>
      <c r="E161" s="15" t="n"/>
      <c r="F161" s="15" t="n"/>
      <c r="G161" s="17" t="n"/>
      <c r="H161" s="17" t="n"/>
      <c r="I161" s="7">
        <f>IF(AND(G161="",H161=""),"",Paramètres!$B$5+SUM(G$5:G161)-SUM(H$5:H161))</f>
        <v/>
      </c>
      <c r="J161" s="12">
        <f>IF(A161="","",MONTH(A161))</f>
        <v/>
      </c>
    </row>
    <row r="162">
      <c r="A162" s="18" t="n"/>
      <c r="B162" s="15" t="n"/>
      <c r="C162" s="15" t="n"/>
      <c r="D162" s="15" t="n"/>
      <c r="E162" s="15" t="n"/>
      <c r="F162" s="15" t="n"/>
      <c r="G162" s="17" t="n"/>
      <c r="H162" s="17" t="n"/>
      <c r="I162" s="7">
        <f>IF(AND(G162="",H162=""),"",Paramètres!$B$5+SUM(G$5:G162)-SUM(H$5:H162))</f>
        <v/>
      </c>
      <c r="J162" s="12">
        <f>IF(A162="","",MONTH(A162))</f>
        <v/>
      </c>
    </row>
    <row r="163">
      <c r="A163" s="18" t="n"/>
      <c r="B163" s="15" t="n"/>
      <c r="C163" s="15" t="n"/>
      <c r="D163" s="15" t="n"/>
      <c r="E163" s="15" t="n"/>
      <c r="F163" s="15" t="n"/>
      <c r="G163" s="17" t="n"/>
      <c r="H163" s="17" t="n"/>
      <c r="I163" s="7">
        <f>IF(AND(G163="",H163=""),"",Paramètres!$B$5+SUM(G$5:G163)-SUM(H$5:H163))</f>
        <v/>
      </c>
      <c r="J163" s="12">
        <f>IF(A163="","",MONTH(A163))</f>
        <v/>
      </c>
    </row>
    <row r="164">
      <c r="A164" s="18" t="n"/>
      <c r="B164" s="15" t="n"/>
      <c r="C164" s="15" t="n"/>
      <c r="D164" s="15" t="n"/>
      <c r="E164" s="15" t="n"/>
      <c r="F164" s="15" t="n"/>
      <c r="G164" s="17" t="n"/>
      <c r="H164" s="17" t="n"/>
      <c r="I164" s="7">
        <f>IF(AND(G164="",H164=""),"",Paramètres!$B$5+SUM(G$5:G164)-SUM(H$5:H164))</f>
        <v/>
      </c>
      <c r="J164" s="12">
        <f>IF(A164="","",MONTH(A164))</f>
        <v/>
      </c>
    </row>
    <row r="165">
      <c r="A165" s="18" t="n"/>
      <c r="B165" s="15" t="n"/>
      <c r="C165" s="15" t="n"/>
      <c r="D165" s="15" t="n"/>
      <c r="E165" s="15" t="n"/>
      <c r="F165" s="15" t="n"/>
      <c r="G165" s="17" t="n"/>
      <c r="H165" s="17" t="n"/>
      <c r="I165" s="7">
        <f>IF(AND(G165="",H165=""),"",Paramètres!$B$5+SUM(G$5:G165)-SUM(H$5:H165))</f>
        <v/>
      </c>
      <c r="J165" s="12">
        <f>IF(A165="","",MONTH(A165))</f>
        <v/>
      </c>
    </row>
    <row r="166">
      <c r="A166" s="18" t="n"/>
      <c r="B166" s="15" t="n"/>
      <c r="C166" s="15" t="n"/>
      <c r="D166" s="15" t="n"/>
      <c r="E166" s="15" t="n"/>
      <c r="F166" s="15" t="n"/>
      <c r="G166" s="17" t="n"/>
      <c r="H166" s="17" t="n"/>
      <c r="I166" s="7">
        <f>IF(AND(G166="",H166=""),"",Paramètres!$B$5+SUM(G$5:G166)-SUM(H$5:H166))</f>
        <v/>
      </c>
      <c r="J166" s="12">
        <f>IF(A166="","",MONTH(A166))</f>
        <v/>
      </c>
    </row>
    <row r="167">
      <c r="A167" s="18" t="n"/>
      <c r="B167" s="15" t="n"/>
      <c r="C167" s="15" t="n"/>
      <c r="D167" s="15" t="n"/>
      <c r="E167" s="15" t="n"/>
      <c r="F167" s="15" t="n"/>
      <c r="G167" s="17" t="n"/>
      <c r="H167" s="17" t="n"/>
      <c r="I167" s="7">
        <f>IF(AND(G167="",H167=""),"",Paramètres!$B$5+SUM(G$5:G167)-SUM(H$5:H167))</f>
        <v/>
      </c>
      <c r="J167" s="12">
        <f>IF(A167="","",MONTH(A167))</f>
        <v/>
      </c>
    </row>
    <row r="168">
      <c r="A168" s="18" t="n"/>
      <c r="B168" s="15" t="n"/>
      <c r="C168" s="15" t="n"/>
      <c r="D168" s="15" t="n"/>
      <c r="E168" s="15" t="n"/>
      <c r="F168" s="15" t="n"/>
      <c r="G168" s="17" t="n"/>
      <c r="H168" s="17" t="n"/>
      <c r="I168" s="7">
        <f>IF(AND(G168="",H168=""),"",Paramètres!$B$5+SUM(G$5:G168)-SUM(H$5:H168))</f>
        <v/>
      </c>
      <c r="J168" s="12">
        <f>IF(A168="","",MONTH(A168))</f>
        <v/>
      </c>
    </row>
    <row r="169">
      <c r="A169" s="18" t="n"/>
      <c r="B169" s="15" t="n"/>
      <c r="C169" s="15" t="n"/>
      <c r="D169" s="15" t="n"/>
      <c r="E169" s="15" t="n"/>
      <c r="F169" s="15" t="n"/>
      <c r="G169" s="17" t="n"/>
      <c r="H169" s="17" t="n"/>
      <c r="I169" s="7">
        <f>IF(AND(G169="",H169=""),"",Paramètres!$B$5+SUM(G$5:G169)-SUM(H$5:H169))</f>
        <v/>
      </c>
      <c r="J169" s="12">
        <f>IF(A169="","",MONTH(A169))</f>
        <v/>
      </c>
    </row>
    <row r="170">
      <c r="A170" s="18" t="n"/>
      <c r="B170" s="15" t="n"/>
      <c r="C170" s="15" t="n"/>
      <c r="D170" s="15" t="n"/>
      <c r="E170" s="15" t="n"/>
      <c r="F170" s="15" t="n"/>
      <c r="G170" s="17" t="n"/>
      <c r="H170" s="17" t="n"/>
      <c r="I170" s="7">
        <f>IF(AND(G170="",H170=""),"",Paramètres!$B$5+SUM(G$5:G170)-SUM(H$5:H170))</f>
        <v/>
      </c>
      <c r="J170" s="12">
        <f>IF(A170="","",MONTH(A170))</f>
        <v/>
      </c>
    </row>
    <row r="171">
      <c r="A171" s="18" t="n"/>
      <c r="B171" s="15" t="n"/>
      <c r="C171" s="15" t="n"/>
      <c r="D171" s="15" t="n"/>
      <c r="E171" s="15" t="n"/>
      <c r="F171" s="15" t="n"/>
      <c r="G171" s="17" t="n"/>
      <c r="H171" s="17" t="n"/>
      <c r="I171" s="7">
        <f>IF(AND(G171="",H171=""),"",Paramètres!$B$5+SUM(G$5:G171)-SUM(H$5:H171))</f>
        <v/>
      </c>
      <c r="J171" s="12">
        <f>IF(A171="","",MONTH(A171))</f>
        <v/>
      </c>
    </row>
    <row r="172">
      <c r="A172" s="18" t="n"/>
      <c r="B172" s="15" t="n"/>
      <c r="C172" s="15" t="n"/>
      <c r="D172" s="15" t="n"/>
      <c r="E172" s="15" t="n"/>
      <c r="F172" s="15" t="n"/>
      <c r="G172" s="17" t="n"/>
      <c r="H172" s="17" t="n"/>
      <c r="I172" s="7">
        <f>IF(AND(G172="",H172=""),"",Paramètres!$B$5+SUM(G$5:G172)-SUM(H$5:H172))</f>
        <v/>
      </c>
      <c r="J172" s="12">
        <f>IF(A172="","",MONTH(A172))</f>
        <v/>
      </c>
    </row>
    <row r="173">
      <c r="A173" s="18" t="n"/>
      <c r="B173" s="15" t="n"/>
      <c r="C173" s="15" t="n"/>
      <c r="D173" s="15" t="n"/>
      <c r="E173" s="15" t="n"/>
      <c r="F173" s="15" t="n"/>
      <c r="G173" s="17" t="n"/>
      <c r="H173" s="17" t="n"/>
      <c r="I173" s="7">
        <f>IF(AND(G173="",H173=""),"",Paramètres!$B$5+SUM(G$5:G173)-SUM(H$5:H173))</f>
        <v/>
      </c>
      <c r="J173" s="12">
        <f>IF(A173="","",MONTH(A173))</f>
        <v/>
      </c>
    </row>
    <row r="174">
      <c r="A174" s="18" t="n"/>
      <c r="B174" s="15" t="n"/>
      <c r="C174" s="15" t="n"/>
      <c r="D174" s="15" t="n"/>
      <c r="E174" s="15" t="n"/>
      <c r="F174" s="15" t="n"/>
      <c r="G174" s="17" t="n"/>
      <c r="H174" s="17" t="n"/>
      <c r="I174" s="7">
        <f>IF(AND(G174="",H174=""),"",Paramètres!$B$5+SUM(G$5:G174)-SUM(H$5:H174))</f>
        <v/>
      </c>
      <c r="J174" s="12">
        <f>IF(A174="","",MONTH(A174))</f>
        <v/>
      </c>
    </row>
    <row r="175">
      <c r="A175" s="18" t="n"/>
      <c r="B175" s="15" t="n"/>
      <c r="C175" s="15" t="n"/>
      <c r="D175" s="15" t="n"/>
      <c r="E175" s="15" t="n"/>
      <c r="F175" s="15" t="n"/>
      <c r="G175" s="17" t="n"/>
      <c r="H175" s="17" t="n"/>
      <c r="I175" s="7">
        <f>IF(AND(G175="",H175=""),"",Paramètres!$B$5+SUM(G$5:G175)-SUM(H$5:H175))</f>
        <v/>
      </c>
      <c r="J175" s="12">
        <f>IF(A175="","",MONTH(A175))</f>
        <v/>
      </c>
    </row>
    <row r="176">
      <c r="A176" s="18" t="n"/>
      <c r="B176" s="15" t="n"/>
      <c r="C176" s="15" t="n"/>
      <c r="D176" s="15" t="n"/>
      <c r="E176" s="15" t="n"/>
      <c r="F176" s="15" t="n"/>
      <c r="G176" s="17" t="n"/>
      <c r="H176" s="17" t="n"/>
      <c r="I176" s="7">
        <f>IF(AND(G176="",H176=""),"",Paramètres!$B$5+SUM(G$5:G176)-SUM(H$5:H176))</f>
        <v/>
      </c>
      <c r="J176" s="12">
        <f>IF(A176="","",MONTH(A176))</f>
        <v/>
      </c>
    </row>
    <row r="177">
      <c r="A177" s="18" t="n"/>
      <c r="B177" s="15" t="n"/>
      <c r="C177" s="15" t="n"/>
      <c r="D177" s="15" t="n"/>
      <c r="E177" s="15" t="n"/>
      <c r="F177" s="15" t="n"/>
      <c r="G177" s="17" t="n"/>
      <c r="H177" s="17" t="n"/>
      <c r="I177" s="7">
        <f>IF(AND(G177="",H177=""),"",Paramètres!$B$5+SUM(G$5:G177)-SUM(H$5:H177))</f>
        <v/>
      </c>
      <c r="J177" s="12">
        <f>IF(A177="","",MONTH(A177))</f>
        <v/>
      </c>
    </row>
    <row r="178">
      <c r="A178" s="18" t="n"/>
      <c r="B178" s="15" t="n"/>
      <c r="C178" s="15" t="n"/>
      <c r="D178" s="15" t="n"/>
      <c r="E178" s="15" t="n"/>
      <c r="F178" s="15" t="n"/>
      <c r="G178" s="17" t="n"/>
      <c r="H178" s="17" t="n"/>
      <c r="I178" s="7">
        <f>IF(AND(G178="",H178=""),"",Paramètres!$B$5+SUM(G$5:G178)-SUM(H$5:H178))</f>
        <v/>
      </c>
      <c r="J178" s="12">
        <f>IF(A178="","",MONTH(A178))</f>
        <v/>
      </c>
    </row>
    <row r="179">
      <c r="A179" s="18" t="n"/>
      <c r="B179" s="15" t="n"/>
      <c r="C179" s="15" t="n"/>
      <c r="D179" s="15" t="n"/>
      <c r="E179" s="15" t="n"/>
      <c r="F179" s="15" t="n"/>
      <c r="G179" s="17" t="n"/>
      <c r="H179" s="17" t="n"/>
      <c r="I179" s="7">
        <f>IF(AND(G179="",H179=""),"",Paramètres!$B$5+SUM(G$5:G179)-SUM(H$5:H179))</f>
        <v/>
      </c>
      <c r="J179" s="12">
        <f>IF(A179="","",MONTH(A179))</f>
        <v/>
      </c>
    </row>
    <row r="180">
      <c r="A180" s="18" t="n"/>
      <c r="B180" s="15" t="n"/>
      <c r="C180" s="15" t="n"/>
      <c r="D180" s="15" t="n"/>
      <c r="E180" s="15" t="n"/>
      <c r="F180" s="15" t="n"/>
      <c r="G180" s="17" t="n"/>
      <c r="H180" s="17" t="n"/>
      <c r="I180" s="7">
        <f>IF(AND(G180="",H180=""),"",Paramètres!$B$5+SUM(G$5:G180)-SUM(H$5:H180))</f>
        <v/>
      </c>
      <c r="J180" s="12">
        <f>IF(A180="","",MONTH(A180))</f>
        <v/>
      </c>
    </row>
    <row r="181">
      <c r="A181" s="18" t="n"/>
      <c r="B181" s="15" t="n"/>
      <c r="C181" s="15" t="n"/>
      <c r="D181" s="15" t="n"/>
      <c r="E181" s="15" t="n"/>
      <c r="F181" s="15" t="n"/>
      <c r="G181" s="17" t="n"/>
      <c r="H181" s="17" t="n"/>
      <c r="I181" s="7">
        <f>IF(AND(G181="",H181=""),"",Paramètres!$B$5+SUM(G$5:G181)-SUM(H$5:H181))</f>
        <v/>
      </c>
      <c r="J181" s="12">
        <f>IF(A181="","",MONTH(A181))</f>
        <v/>
      </c>
    </row>
    <row r="182">
      <c r="A182" s="18" t="n"/>
      <c r="B182" s="15" t="n"/>
      <c r="C182" s="15" t="n"/>
      <c r="D182" s="15" t="n"/>
      <c r="E182" s="15" t="n"/>
      <c r="F182" s="15" t="n"/>
      <c r="G182" s="17" t="n"/>
      <c r="H182" s="17" t="n"/>
      <c r="I182" s="7">
        <f>IF(AND(G182="",H182=""),"",Paramètres!$B$5+SUM(G$5:G182)-SUM(H$5:H182))</f>
        <v/>
      </c>
      <c r="J182" s="12">
        <f>IF(A182="","",MONTH(A182))</f>
        <v/>
      </c>
    </row>
    <row r="183">
      <c r="A183" s="18" t="n"/>
      <c r="B183" s="15" t="n"/>
      <c r="C183" s="15" t="n"/>
      <c r="D183" s="15" t="n"/>
      <c r="E183" s="15" t="n"/>
      <c r="F183" s="15" t="n"/>
      <c r="G183" s="17" t="n"/>
      <c r="H183" s="17" t="n"/>
      <c r="I183" s="7">
        <f>IF(AND(G183="",H183=""),"",Paramètres!$B$5+SUM(G$5:G183)-SUM(H$5:H183))</f>
        <v/>
      </c>
      <c r="J183" s="12">
        <f>IF(A183="","",MONTH(A183))</f>
        <v/>
      </c>
    </row>
    <row r="184">
      <c r="A184" s="18" t="n"/>
      <c r="B184" s="15" t="n"/>
      <c r="C184" s="15" t="n"/>
      <c r="D184" s="15" t="n"/>
      <c r="E184" s="15" t="n"/>
      <c r="F184" s="15" t="n"/>
      <c r="G184" s="17" t="n"/>
      <c r="H184" s="17" t="n"/>
      <c r="I184" s="7">
        <f>IF(AND(G184="",H184=""),"",Paramètres!$B$5+SUM(G$5:G184)-SUM(H$5:H184))</f>
        <v/>
      </c>
      <c r="J184" s="12">
        <f>IF(A184="","",MONTH(A184))</f>
        <v/>
      </c>
    </row>
    <row r="185">
      <c r="A185" s="18" t="n"/>
      <c r="B185" s="15" t="n"/>
      <c r="C185" s="15" t="n"/>
      <c r="D185" s="15" t="n"/>
      <c r="E185" s="15" t="n"/>
      <c r="F185" s="15" t="n"/>
      <c r="G185" s="17" t="n"/>
      <c r="H185" s="17" t="n"/>
      <c r="I185" s="7">
        <f>IF(AND(G185="",H185=""),"",Paramètres!$B$5+SUM(G$5:G185)-SUM(H$5:H185))</f>
        <v/>
      </c>
      <c r="J185" s="12">
        <f>IF(A185="","",MONTH(A185))</f>
        <v/>
      </c>
    </row>
    <row r="186">
      <c r="A186" s="18" t="n"/>
      <c r="B186" s="15" t="n"/>
      <c r="C186" s="15" t="n"/>
      <c r="D186" s="15" t="n"/>
      <c r="E186" s="15" t="n"/>
      <c r="F186" s="15" t="n"/>
      <c r="G186" s="17" t="n"/>
      <c r="H186" s="17" t="n"/>
      <c r="I186" s="7">
        <f>IF(AND(G186="",H186=""),"",Paramètres!$B$5+SUM(G$5:G186)-SUM(H$5:H186))</f>
        <v/>
      </c>
      <c r="J186" s="12">
        <f>IF(A186="","",MONTH(A186))</f>
        <v/>
      </c>
    </row>
    <row r="187">
      <c r="A187" s="18" t="n"/>
      <c r="B187" s="15" t="n"/>
      <c r="C187" s="15" t="n"/>
      <c r="D187" s="15" t="n"/>
      <c r="E187" s="15" t="n"/>
      <c r="F187" s="15" t="n"/>
      <c r="G187" s="17" t="n"/>
      <c r="H187" s="17" t="n"/>
      <c r="I187" s="7">
        <f>IF(AND(G187="",H187=""),"",Paramètres!$B$5+SUM(G$5:G187)-SUM(H$5:H187))</f>
        <v/>
      </c>
      <c r="J187" s="12">
        <f>IF(A187="","",MONTH(A187))</f>
        <v/>
      </c>
    </row>
    <row r="188">
      <c r="A188" s="18" t="n"/>
      <c r="B188" s="15" t="n"/>
      <c r="C188" s="15" t="n"/>
      <c r="D188" s="15" t="n"/>
      <c r="E188" s="15" t="n"/>
      <c r="F188" s="15" t="n"/>
      <c r="G188" s="17" t="n"/>
      <c r="H188" s="17" t="n"/>
      <c r="I188" s="7">
        <f>IF(AND(G188="",H188=""),"",Paramètres!$B$5+SUM(G$5:G188)-SUM(H$5:H188))</f>
        <v/>
      </c>
      <c r="J188" s="12">
        <f>IF(A188="","",MONTH(A188))</f>
        <v/>
      </c>
    </row>
    <row r="189">
      <c r="A189" s="18" t="n"/>
      <c r="B189" s="15" t="n"/>
      <c r="C189" s="15" t="n"/>
      <c r="D189" s="15" t="n"/>
      <c r="E189" s="15" t="n"/>
      <c r="F189" s="15" t="n"/>
      <c r="G189" s="17" t="n"/>
      <c r="H189" s="17" t="n"/>
      <c r="I189" s="7">
        <f>IF(AND(G189="",H189=""),"",Paramètres!$B$5+SUM(G$5:G189)-SUM(H$5:H189))</f>
        <v/>
      </c>
      <c r="J189" s="12">
        <f>IF(A189="","",MONTH(A189))</f>
        <v/>
      </c>
    </row>
    <row r="190">
      <c r="A190" s="18" t="n"/>
      <c r="B190" s="15" t="n"/>
      <c r="C190" s="15" t="n"/>
      <c r="D190" s="15" t="n"/>
      <c r="E190" s="15" t="n"/>
      <c r="F190" s="15" t="n"/>
      <c r="G190" s="17" t="n"/>
      <c r="H190" s="17" t="n"/>
      <c r="I190" s="7">
        <f>IF(AND(G190="",H190=""),"",Paramètres!$B$5+SUM(G$5:G190)-SUM(H$5:H190))</f>
        <v/>
      </c>
      <c r="J190" s="12">
        <f>IF(A190="","",MONTH(A190))</f>
        <v/>
      </c>
    </row>
    <row r="191">
      <c r="A191" s="18" t="n"/>
      <c r="B191" s="15" t="n"/>
      <c r="C191" s="15" t="n"/>
      <c r="D191" s="15" t="n"/>
      <c r="E191" s="15" t="n"/>
      <c r="F191" s="15" t="n"/>
      <c r="G191" s="17" t="n"/>
      <c r="H191" s="17" t="n"/>
      <c r="I191" s="7">
        <f>IF(AND(G191="",H191=""),"",Paramètres!$B$5+SUM(G$5:G191)-SUM(H$5:H191))</f>
        <v/>
      </c>
      <c r="J191" s="12">
        <f>IF(A191="","",MONTH(A191))</f>
        <v/>
      </c>
    </row>
    <row r="192">
      <c r="A192" s="18" t="n"/>
      <c r="B192" s="15" t="n"/>
      <c r="C192" s="15" t="n"/>
      <c r="D192" s="15" t="n"/>
      <c r="E192" s="15" t="n"/>
      <c r="F192" s="15" t="n"/>
      <c r="G192" s="17" t="n"/>
      <c r="H192" s="17" t="n"/>
      <c r="I192" s="7">
        <f>IF(AND(G192="",H192=""),"",Paramètres!$B$5+SUM(G$5:G192)-SUM(H$5:H192))</f>
        <v/>
      </c>
      <c r="J192" s="12">
        <f>IF(A192="","",MONTH(A192))</f>
        <v/>
      </c>
    </row>
    <row r="193">
      <c r="A193" s="18" t="n"/>
      <c r="B193" s="15" t="n"/>
      <c r="C193" s="15" t="n"/>
      <c r="D193" s="15" t="n"/>
      <c r="E193" s="15" t="n"/>
      <c r="F193" s="15" t="n"/>
      <c r="G193" s="17" t="n"/>
      <c r="H193" s="17" t="n"/>
      <c r="I193" s="7">
        <f>IF(AND(G193="",H193=""),"",Paramètres!$B$5+SUM(G$5:G193)-SUM(H$5:H193))</f>
        <v/>
      </c>
      <c r="J193" s="12">
        <f>IF(A193="","",MONTH(A193))</f>
        <v/>
      </c>
    </row>
    <row r="194">
      <c r="A194" s="18" t="n"/>
      <c r="B194" s="15" t="n"/>
      <c r="C194" s="15" t="n"/>
      <c r="D194" s="15" t="n"/>
      <c r="E194" s="15" t="n"/>
      <c r="F194" s="15" t="n"/>
      <c r="G194" s="17" t="n"/>
      <c r="H194" s="17" t="n"/>
      <c r="I194" s="7">
        <f>IF(AND(G194="",H194=""),"",Paramètres!$B$5+SUM(G$5:G194)-SUM(H$5:H194))</f>
        <v/>
      </c>
      <c r="J194" s="12">
        <f>IF(A194="","",MONTH(A194))</f>
        <v/>
      </c>
    </row>
    <row r="195">
      <c r="A195" s="18" t="n"/>
      <c r="B195" s="15" t="n"/>
      <c r="C195" s="15" t="n"/>
      <c r="D195" s="15" t="n"/>
      <c r="E195" s="15" t="n"/>
      <c r="F195" s="15" t="n"/>
      <c r="G195" s="17" t="n"/>
      <c r="H195" s="17" t="n"/>
      <c r="I195" s="7">
        <f>IF(AND(G195="",H195=""),"",Paramètres!$B$5+SUM(G$5:G195)-SUM(H$5:H195))</f>
        <v/>
      </c>
      <c r="J195" s="12">
        <f>IF(A195="","",MONTH(A195))</f>
        <v/>
      </c>
    </row>
    <row r="196">
      <c r="A196" s="18" t="n"/>
      <c r="B196" s="15" t="n"/>
      <c r="C196" s="15" t="n"/>
      <c r="D196" s="15" t="n"/>
      <c r="E196" s="15" t="n"/>
      <c r="F196" s="15" t="n"/>
      <c r="G196" s="17" t="n"/>
      <c r="H196" s="17" t="n"/>
      <c r="I196" s="7">
        <f>IF(AND(G196="",H196=""),"",Paramètres!$B$5+SUM(G$5:G196)-SUM(H$5:H196))</f>
        <v/>
      </c>
      <c r="J196" s="12">
        <f>IF(A196="","",MONTH(A196))</f>
        <v/>
      </c>
    </row>
    <row r="197">
      <c r="A197" s="18" t="n"/>
      <c r="B197" s="15" t="n"/>
      <c r="C197" s="15" t="n"/>
      <c r="D197" s="15" t="n"/>
      <c r="E197" s="15" t="n"/>
      <c r="F197" s="15" t="n"/>
      <c r="G197" s="17" t="n"/>
      <c r="H197" s="17" t="n"/>
      <c r="I197" s="7">
        <f>IF(AND(G197="",H197=""),"",Paramètres!$B$5+SUM(G$5:G197)-SUM(H$5:H197))</f>
        <v/>
      </c>
      <c r="J197" s="12">
        <f>IF(A197="","",MONTH(A197))</f>
        <v/>
      </c>
    </row>
    <row r="198">
      <c r="A198" s="18" t="n"/>
      <c r="B198" s="15" t="n"/>
      <c r="C198" s="15" t="n"/>
      <c r="D198" s="15" t="n"/>
      <c r="E198" s="15" t="n"/>
      <c r="F198" s="15" t="n"/>
      <c r="G198" s="17" t="n"/>
      <c r="H198" s="17" t="n"/>
      <c r="I198" s="7">
        <f>IF(AND(G198="",H198=""),"",Paramètres!$B$5+SUM(G$5:G198)-SUM(H$5:H198))</f>
        <v/>
      </c>
      <c r="J198" s="12">
        <f>IF(A198="","",MONTH(A198))</f>
        <v/>
      </c>
    </row>
    <row r="199">
      <c r="A199" s="18" t="n"/>
      <c r="B199" s="15" t="n"/>
      <c r="C199" s="15" t="n"/>
      <c r="D199" s="15" t="n"/>
      <c r="E199" s="15" t="n"/>
      <c r="F199" s="15" t="n"/>
      <c r="G199" s="17" t="n"/>
      <c r="H199" s="17" t="n"/>
      <c r="I199" s="7">
        <f>IF(AND(G199="",H199=""),"",Paramètres!$B$5+SUM(G$5:G199)-SUM(H$5:H199))</f>
        <v/>
      </c>
      <c r="J199" s="12">
        <f>IF(A199="","",MONTH(A199))</f>
        <v/>
      </c>
    </row>
    <row r="200">
      <c r="A200" s="18" t="n"/>
      <c r="B200" s="15" t="n"/>
      <c r="C200" s="15" t="n"/>
      <c r="D200" s="15" t="n"/>
      <c r="E200" s="15" t="n"/>
      <c r="F200" s="15" t="n"/>
      <c r="G200" s="17" t="n"/>
      <c r="H200" s="17" t="n"/>
      <c r="I200" s="7">
        <f>IF(AND(G200="",H200=""),"",Paramètres!$B$5+SUM(G$5:G200)-SUM(H$5:H200))</f>
        <v/>
      </c>
      <c r="J200" s="12">
        <f>IF(A200="","",MONTH(A200))</f>
        <v/>
      </c>
    </row>
    <row r="201">
      <c r="A201" s="18" t="n"/>
      <c r="B201" s="15" t="n"/>
      <c r="C201" s="15" t="n"/>
      <c r="D201" s="15" t="n"/>
      <c r="E201" s="15" t="n"/>
      <c r="F201" s="15" t="n"/>
      <c r="G201" s="17" t="n"/>
      <c r="H201" s="17" t="n"/>
      <c r="I201" s="7">
        <f>IF(AND(G201="",H201=""),"",Paramètres!$B$5+SUM(G$5:G201)-SUM(H$5:H201))</f>
        <v/>
      </c>
      <c r="J201" s="12">
        <f>IF(A201="","",MONTH(A201))</f>
        <v/>
      </c>
    </row>
    <row r="202">
      <c r="A202" s="18" t="n"/>
      <c r="B202" s="15" t="n"/>
      <c r="C202" s="15" t="n"/>
      <c r="D202" s="15" t="n"/>
      <c r="E202" s="15" t="n"/>
      <c r="F202" s="15" t="n"/>
      <c r="G202" s="17" t="n"/>
      <c r="H202" s="17" t="n"/>
      <c r="I202" s="7">
        <f>IF(AND(G202="",H202=""),"",Paramètres!$B$5+SUM(G$5:G202)-SUM(H$5:H202))</f>
        <v/>
      </c>
      <c r="J202" s="12">
        <f>IF(A202="","",MONTH(A202))</f>
        <v/>
      </c>
    </row>
    <row r="203">
      <c r="A203" s="18" t="n"/>
      <c r="B203" s="15" t="n"/>
      <c r="C203" s="15" t="n"/>
      <c r="D203" s="15" t="n"/>
      <c r="E203" s="15" t="n"/>
      <c r="F203" s="15" t="n"/>
      <c r="G203" s="17" t="n"/>
      <c r="H203" s="17" t="n"/>
      <c r="I203" s="7">
        <f>IF(AND(G203="",H203=""),"",Paramètres!$B$5+SUM(G$5:G203)-SUM(H$5:H203))</f>
        <v/>
      </c>
      <c r="J203" s="12">
        <f>IF(A203="","",MONTH(A203))</f>
        <v/>
      </c>
    </row>
    <row r="204">
      <c r="A204" s="18" t="n"/>
      <c r="B204" s="15" t="n"/>
      <c r="C204" s="15" t="n"/>
      <c r="D204" s="15" t="n"/>
      <c r="E204" s="15" t="n"/>
      <c r="F204" s="15" t="n"/>
      <c r="G204" s="17" t="n"/>
      <c r="H204" s="17" t="n"/>
      <c r="I204" s="7">
        <f>IF(AND(G204="",H204=""),"",Paramètres!$B$5+SUM(G$5:G204)-SUM(H$5:H204))</f>
        <v/>
      </c>
      <c r="J204" s="12">
        <f>IF(A204="","",MONTH(A204))</f>
        <v/>
      </c>
    </row>
    <row r="205">
      <c r="A205" s="18" t="n"/>
      <c r="B205" s="15" t="n"/>
      <c r="C205" s="15" t="n"/>
      <c r="D205" s="15" t="n"/>
      <c r="E205" s="15" t="n"/>
      <c r="F205" s="15" t="n"/>
      <c r="G205" s="17" t="n"/>
      <c r="H205" s="17" t="n"/>
      <c r="I205" s="7">
        <f>IF(AND(G205="",H205=""),"",Paramètres!$B$5+SUM(G$5:G205)-SUM(H$5:H205))</f>
        <v/>
      </c>
      <c r="J205" s="12">
        <f>IF(A205="","",MONTH(A205))</f>
        <v/>
      </c>
    </row>
    <row r="206">
      <c r="A206" s="18" t="n"/>
      <c r="B206" s="15" t="n"/>
      <c r="C206" s="15" t="n"/>
      <c r="D206" s="15" t="n"/>
      <c r="E206" s="15" t="n"/>
      <c r="F206" s="15" t="n"/>
      <c r="G206" s="17" t="n"/>
      <c r="H206" s="17" t="n"/>
      <c r="I206" s="7">
        <f>IF(AND(G206="",H206=""),"",Paramètres!$B$5+SUM(G$5:G206)-SUM(H$5:H206))</f>
        <v/>
      </c>
      <c r="J206" s="12">
        <f>IF(A206="","",MONTH(A206))</f>
        <v/>
      </c>
    </row>
    <row r="207">
      <c r="A207" s="18" t="n"/>
      <c r="B207" s="15" t="n"/>
      <c r="C207" s="15" t="n"/>
      <c r="D207" s="15" t="n"/>
      <c r="E207" s="15" t="n"/>
      <c r="F207" s="15" t="n"/>
      <c r="G207" s="17" t="n"/>
      <c r="H207" s="17" t="n"/>
      <c r="I207" s="7">
        <f>IF(AND(G207="",H207=""),"",Paramètres!$B$5+SUM(G$5:G207)-SUM(H$5:H207))</f>
        <v/>
      </c>
      <c r="J207" s="12">
        <f>IF(A207="","",MONTH(A207))</f>
        <v/>
      </c>
    </row>
    <row r="208">
      <c r="A208" s="18" t="n"/>
      <c r="B208" s="15" t="n"/>
      <c r="C208" s="15" t="n"/>
      <c r="D208" s="15" t="n"/>
      <c r="E208" s="15" t="n"/>
      <c r="F208" s="15" t="n"/>
      <c r="G208" s="17" t="n"/>
      <c r="H208" s="17" t="n"/>
      <c r="I208" s="7">
        <f>IF(AND(G208="",H208=""),"",Paramètres!$B$5+SUM(G$5:G208)-SUM(H$5:H208))</f>
        <v/>
      </c>
      <c r="J208" s="12">
        <f>IF(A208="","",MONTH(A208))</f>
        <v/>
      </c>
    </row>
    <row r="209">
      <c r="A209" s="18" t="n"/>
      <c r="B209" s="15" t="n"/>
      <c r="C209" s="15" t="n"/>
      <c r="D209" s="15" t="n"/>
      <c r="E209" s="15" t="n"/>
      <c r="F209" s="15" t="n"/>
      <c r="G209" s="17" t="n"/>
      <c r="H209" s="17" t="n"/>
      <c r="I209" s="7">
        <f>IF(AND(G209="",H209=""),"",Paramètres!$B$5+SUM(G$5:G209)-SUM(H$5:H209))</f>
        <v/>
      </c>
      <c r="J209" s="12">
        <f>IF(A209="","",MONTH(A209))</f>
        <v/>
      </c>
    </row>
    <row r="210">
      <c r="A210" s="18" t="n"/>
      <c r="B210" s="15" t="n"/>
      <c r="C210" s="15" t="n"/>
      <c r="D210" s="15" t="n"/>
      <c r="E210" s="15" t="n"/>
      <c r="F210" s="15" t="n"/>
      <c r="G210" s="17" t="n"/>
      <c r="H210" s="17" t="n"/>
      <c r="I210" s="7">
        <f>IF(AND(G210="",H210=""),"",Paramètres!$B$5+SUM(G$5:G210)-SUM(H$5:H210))</f>
        <v/>
      </c>
      <c r="J210" s="12">
        <f>IF(A210="","",MONTH(A210))</f>
        <v/>
      </c>
    </row>
    <row r="211">
      <c r="A211" s="18" t="n"/>
      <c r="B211" s="15" t="n"/>
      <c r="C211" s="15" t="n"/>
      <c r="D211" s="15" t="n"/>
      <c r="E211" s="15" t="n"/>
      <c r="F211" s="15" t="n"/>
      <c r="G211" s="17" t="n"/>
      <c r="H211" s="17" t="n"/>
      <c r="I211" s="7">
        <f>IF(AND(G211="",H211=""),"",Paramètres!$B$5+SUM(G$5:G211)-SUM(H$5:H211))</f>
        <v/>
      </c>
      <c r="J211" s="12">
        <f>IF(A211="","",MONTH(A211))</f>
        <v/>
      </c>
    </row>
    <row r="212">
      <c r="A212" s="18" t="n"/>
      <c r="B212" s="15" t="n"/>
      <c r="C212" s="15" t="n"/>
      <c r="D212" s="15" t="n"/>
      <c r="E212" s="15" t="n"/>
      <c r="F212" s="15" t="n"/>
      <c r="G212" s="17" t="n"/>
      <c r="H212" s="17" t="n"/>
      <c r="I212" s="7">
        <f>IF(AND(G212="",H212=""),"",Paramètres!$B$5+SUM(G$5:G212)-SUM(H$5:H212))</f>
        <v/>
      </c>
      <c r="J212" s="12">
        <f>IF(A212="","",MONTH(A212))</f>
        <v/>
      </c>
    </row>
    <row r="213">
      <c r="A213" s="18" t="n"/>
      <c r="B213" s="15" t="n"/>
      <c r="C213" s="15" t="n"/>
      <c r="D213" s="15" t="n"/>
      <c r="E213" s="15" t="n"/>
      <c r="F213" s="15" t="n"/>
      <c r="G213" s="17" t="n"/>
      <c r="H213" s="17" t="n"/>
      <c r="I213" s="7">
        <f>IF(AND(G213="",H213=""),"",Paramètres!$B$5+SUM(G$5:G213)-SUM(H$5:H213))</f>
        <v/>
      </c>
      <c r="J213" s="12">
        <f>IF(A213="","",MONTH(A213))</f>
        <v/>
      </c>
    </row>
    <row r="214">
      <c r="A214" s="18" t="n"/>
      <c r="B214" s="15" t="n"/>
      <c r="C214" s="15" t="n"/>
      <c r="D214" s="15" t="n"/>
      <c r="E214" s="15" t="n"/>
      <c r="F214" s="15" t="n"/>
      <c r="G214" s="17" t="n"/>
      <c r="H214" s="17" t="n"/>
      <c r="I214" s="7">
        <f>IF(AND(G214="",H214=""),"",Paramètres!$B$5+SUM(G$5:G214)-SUM(H$5:H214))</f>
        <v/>
      </c>
      <c r="J214" s="12">
        <f>IF(A214="","",MONTH(A214))</f>
        <v/>
      </c>
    </row>
    <row r="215">
      <c r="A215" s="18" t="n"/>
      <c r="B215" s="15" t="n"/>
      <c r="C215" s="15" t="n"/>
      <c r="D215" s="15" t="n"/>
      <c r="E215" s="15" t="n"/>
      <c r="F215" s="15" t="n"/>
      <c r="G215" s="17" t="n"/>
      <c r="H215" s="17" t="n"/>
      <c r="I215" s="7">
        <f>IF(AND(G215="",H215=""),"",Paramètres!$B$5+SUM(G$5:G215)-SUM(H$5:H215))</f>
        <v/>
      </c>
      <c r="J215" s="12">
        <f>IF(A215="","",MONTH(A215))</f>
        <v/>
      </c>
    </row>
    <row r="216">
      <c r="A216" s="18" t="n"/>
      <c r="B216" s="15" t="n"/>
      <c r="C216" s="15" t="n"/>
      <c r="D216" s="15" t="n"/>
      <c r="E216" s="15" t="n"/>
      <c r="F216" s="15" t="n"/>
      <c r="G216" s="17" t="n"/>
      <c r="H216" s="17" t="n"/>
      <c r="I216" s="7">
        <f>IF(AND(G216="",H216=""),"",Paramètres!$B$5+SUM(G$5:G216)-SUM(H$5:H216))</f>
        <v/>
      </c>
      <c r="J216" s="12">
        <f>IF(A216="","",MONTH(A216))</f>
        <v/>
      </c>
    </row>
    <row r="217">
      <c r="A217" s="18" t="n"/>
      <c r="B217" s="15" t="n"/>
      <c r="C217" s="15" t="n"/>
      <c r="D217" s="15" t="n"/>
      <c r="E217" s="15" t="n"/>
      <c r="F217" s="15" t="n"/>
      <c r="G217" s="17" t="n"/>
      <c r="H217" s="17" t="n"/>
      <c r="I217" s="7">
        <f>IF(AND(G217="",H217=""),"",Paramètres!$B$5+SUM(G$5:G217)-SUM(H$5:H217))</f>
        <v/>
      </c>
      <c r="J217" s="12">
        <f>IF(A217="","",MONTH(A217))</f>
        <v/>
      </c>
    </row>
    <row r="218">
      <c r="A218" s="18" t="n"/>
      <c r="B218" s="15" t="n"/>
      <c r="C218" s="15" t="n"/>
      <c r="D218" s="15" t="n"/>
      <c r="E218" s="15" t="n"/>
      <c r="F218" s="15" t="n"/>
      <c r="G218" s="17" t="n"/>
      <c r="H218" s="17" t="n"/>
      <c r="I218" s="7">
        <f>IF(AND(G218="",H218=""),"",Paramètres!$B$5+SUM(G$5:G218)-SUM(H$5:H218))</f>
        <v/>
      </c>
      <c r="J218" s="12">
        <f>IF(A218="","",MONTH(A218))</f>
        <v/>
      </c>
    </row>
    <row r="219">
      <c r="A219" s="18" t="n"/>
      <c r="B219" s="15" t="n"/>
      <c r="C219" s="15" t="n"/>
      <c r="D219" s="15" t="n"/>
      <c r="E219" s="15" t="n"/>
      <c r="F219" s="15" t="n"/>
      <c r="G219" s="17" t="n"/>
      <c r="H219" s="17" t="n"/>
      <c r="I219" s="7">
        <f>IF(AND(G219="",H219=""),"",Paramètres!$B$5+SUM(G$5:G219)-SUM(H$5:H219))</f>
        <v/>
      </c>
      <c r="J219" s="12">
        <f>IF(A219="","",MONTH(A219))</f>
        <v/>
      </c>
    </row>
    <row r="220">
      <c r="A220" s="18" t="n"/>
      <c r="B220" s="15" t="n"/>
      <c r="C220" s="15" t="n"/>
      <c r="D220" s="15" t="n"/>
      <c r="E220" s="15" t="n"/>
      <c r="F220" s="15" t="n"/>
      <c r="G220" s="17" t="n"/>
      <c r="H220" s="17" t="n"/>
      <c r="I220" s="7">
        <f>IF(AND(G220="",H220=""),"",Paramètres!$B$5+SUM(G$5:G220)-SUM(H$5:H220))</f>
        <v/>
      </c>
      <c r="J220" s="12">
        <f>IF(A220="","",MONTH(A220))</f>
        <v/>
      </c>
    </row>
    <row r="221">
      <c r="A221" s="18" t="n"/>
      <c r="B221" s="15" t="n"/>
      <c r="C221" s="15" t="n"/>
      <c r="D221" s="15" t="n"/>
      <c r="E221" s="15" t="n"/>
      <c r="F221" s="15" t="n"/>
      <c r="G221" s="17" t="n"/>
      <c r="H221" s="17" t="n"/>
      <c r="I221" s="7">
        <f>IF(AND(G221="",H221=""),"",Paramètres!$B$5+SUM(G$5:G221)-SUM(H$5:H221))</f>
        <v/>
      </c>
      <c r="J221" s="12">
        <f>IF(A221="","",MONTH(A221))</f>
        <v/>
      </c>
    </row>
    <row r="222">
      <c r="A222" s="18" t="n"/>
      <c r="B222" s="15" t="n"/>
      <c r="C222" s="15" t="n"/>
      <c r="D222" s="15" t="n"/>
      <c r="E222" s="15" t="n"/>
      <c r="F222" s="15" t="n"/>
      <c r="G222" s="17" t="n"/>
      <c r="H222" s="17" t="n"/>
      <c r="I222" s="7">
        <f>IF(AND(G222="",H222=""),"",Paramètres!$B$5+SUM(G$5:G222)-SUM(H$5:H222))</f>
        <v/>
      </c>
      <c r="J222" s="12">
        <f>IF(A222="","",MONTH(A222))</f>
        <v/>
      </c>
    </row>
    <row r="223">
      <c r="A223" s="18" t="n"/>
      <c r="B223" s="15" t="n"/>
      <c r="C223" s="15" t="n"/>
      <c r="D223" s="15" t="n"/>
      <c r="E223" s="15" t="n"/>
      <c r="F223" s="15" t="n"/>
      <c r="G223" s="17" t="n"/>
      <c r="H223" s="17" t="n"/>
      <c r="I223" s="7">
        <f>IF(AND(G223="",H223=""),"",Paramètres!$B$5+SUM(G$5:G223)-SUM(H$5:H223))</f>
        <v/>
      </c>
      <c r="J223" s="12">
        <f>IF(A223="","",MONTH(A223))</f>
        <v/>
      </c>
    </row>
    <row r="224">
      <c r="A224" s="18" t="n"/>
      <c r="B224" s="15" t="n"/>
      <c r="C224" s="15" t="n"/>
      <c r="D224" s="15" t="n"/>
      <c r="E224" s="15" t="n"/>
      <c r="F224" s="15" t="n"/>
      <c r="G224" s="17" t="n"/>
      <c r="H224" s="17" t="n"/>
      <c r="I224" s="7">
        <f>IF(AND(G224="",H224=""),"",Paramètres!$B$5+SUM(G$5:G224)-SUM(H$5:H224))</f>
        <v/>
      </c>
      <c r="J224" s="12">
        <f>IF(A224="","",MONTH(A224))</f>
        <v/>
      </c>
    </row>
    <row r="225">
      <c r="A225" s="18" t="n"/>
      <c r="B225" s="15" t="n"/>
      <c r="C225" s="15" t="n"/>
      <c r="D225" s="15" t="n"/>
      <c r="E225" s="15" t="n"/>
      <c r="F225" s="15" t="n"/>
      <c r="G225" s="17" t="n"/>
      <c r="H225" s="17" t="n"/>
      <c r="I225" s="7">
        <f>IF(AND(G225="",H225=""),"",Paramètres!$B$5+SUM(G$5:G225)-SUM(H$5:H225))</f>
        <v/>
      </c>
      <c r="J225" s="12">
        <f>IF(A225="","",MONTH(A225))</f>
        <v/>
      </c>
    </row>
    <row r="226">
      <c r="A226" s="18" t="n"/>
      <c r="B226" s="15" t="n"/>
      <c r="C226" s="15" t="n"/>
      <c r="D226" s="15" t="n"/>
      <c r="E226" s="15" t="n"/>
      <c r="F226" s="15" t="n"/>
      <c r="G226" s="17" t="n"/>
      <c r="H226" s="17" t="n"/>
      <c r="I226" s="7">
        <f>IF(AND(G226="",H226=""),"",Paramètres!$B$5+SUM(G$5:G226)-SUM(H$5:H226))</f>
        <v/>
      </c>
      <c r="J226" s="12">
        <f>IF(A226="","",MONTH(A226))</f>
        <v/>
      </c>
    </row>
    <row r="227">
      <c r="A227" s="18" t="n"/>
      <c r="B227" s="15" t="n"/>
      <c r="C227" s="15" t="n"/>
      <c r="D227" s="15" t="n"/>
      <c r="E227" s="15" t="n"/>
      <c r="F227" s="15" t="n"/>
      <c r="G227" s="17" t="n"/>
      <c r="H227" s="17" t="n"/>
      <c r="I227" s="7">
        <f>IF(AND(G227="",H227=""),"",Paramètres!$B$5+SUM(G$5:G227)-SUM(H$5:H227))</f>
        <v/>
      </c>
      <c r="J227" s="12">
        <f>IF(A227="","",MONTH(A227))</f>
        <v/>
      </c>
    </row>
    <row r="228">
      <c r="A228" s="18" t="n"/>
      <c r="B228" s="15" t="n"/>
      <c r="C228" s="15" t="n"/>
      <c r="D228" s="15" t="n"/>
      <c r="E228" s="15" t="n"/>
      <c r="F228" s="15" t="n"/>
      <c r="G228" s="17" t="n"/>
      <c r="H228" s="17" t="n"/>
      <c r="I228" s="7">
        <f>IF(AND(G228="",H228=""),"",Paramètres!$B$5+SUM(G$5:G228)-SUM(H$5:H228))</f>
        <v/>
      </c>
      <c r="J228" s="12">
        <f>IF(A228="","",MONTH(A228))</f>
        <v/>
      </c>
    </row>
    <row r="229">
      <c r="A229" s="18" t="n"/>
      <c r="B229" s="15" t="n"/>
      <c r="C229" s="15" t="n"/>
      <c r="D229" s="15" t="n"/>
      <c r="E229" s="15" t="n"/>
      <c r="F229" s="15" t="n"/>
      <c r="G229" s="17" t="n"/>
      <c r="H229" s="17" t="n"/>
      <c r="I229" s="7">
        <f>IF(AND(G229="",H229=""),"",Paramètres!$B$5+SUM(G$5:G229)-SUM(H$5:H229))</f>
        <v/>
      </c>
      <c r="J229" s="12">
        <f>IF(A229="","",MONTH(A229))</f>
        <v/>
      </c>
    </row>
    <row r="230">
      <c r="A230" s="18" t="n"/>
      <c r="B230" s="15" t="n"/>
      <c r="C230" s="15" t="n"/>
      <c r="D230" s="15" t="n"/>
      <c r="E230" s="15" t="n"/>
      <c r="F230" s="15" t="n"/>
      <c r="G230" s="17" t="n"/>
      <c r="H230" s="17" t="n"/>
      <c r="I230" s="7">
        <f>IF(AND(G230="",H230=""),"",Paramètres!$B$5+SUM(G$5:G230)-SUM(H$5:H230))</f>
        <v/>
      </c>
      <c r="J230" s="12">
        <f>IF(A230="","",MONTH(A230))</f>
        <v/>
      </c>
    </row>
    <row r="231">
      <c r="A231" s="18" t="n"/>
      <c r="B231" s="15" t="n"/>
      <c r="C231" s="15" t="n"/>
      <c r="D231" s="15" t="n"/>
      <c r="E231" s="15" t="n"/>
      <c r="F231" s="15" t="n"/>
      <c r="G231" s="17" t="n"/>
      <c r="H231" s="17" t="n"/>
      <c r="I231" s="7">
        <f>IF(AND(G231="",H231=""),"",Paramètres!$B$5+SUM(G$5:G231)-SUM(H$5:H231))</f>
        <v/>
      </c>
      <c r="J231" s="12">
        <f>IF(A231="","",MONTH(A231))</f>
        <v/>
      </c>
    </row>
    <row r="232">
      <c r="A232" s="18" t="n"/>
      <c r="B232" s="15" t="n"/>
      <c r="C232" s="15" t="n"/>
      <c r="D232" s="15" t="n"/>
      <c r="E232" s="15" t="n"/>
      <c r="F232" s="15" t="n"/>
      <c r="G232" s="17" t="n"/>
      <c r="H232" s="17" t="n"/>
      <c r="I232" s="7">
        <f>IF(AND(G232="",H232=""),"",Paramètres!$B$5+SUM(G$5:G232)-SUM(H$5:H232))</f>
        <v/>
      </c>
      <c r="J232" s="12">
        <f>IF(A232="","",MONTH(A232))</f>
        <v/>
      </c>
    </row>
    <row r="233">
      <c r="A233" s="18" t="n"/>
      <c r="B233" s="15" t="n"/>
      <c r="C233" s="15" t="n"/>
      <c r="D233" s="15" t="n"/>
      <c r="E233" s="15" t="n"/>
      <c r="F233" s="15" t="n"/>
      <c r="G233" s="17" t="n"/>
      <c r="H233" s="17" t="n"/>
      <c r="I233" s="7">
        <f>IF(AND(G233="",H233=""),"",Paramètres!$B$5+SUM(G$5:G233)-SUM(H$5:H233))</f>
        <v/>
      </c>
      <c r="J233" s="12">
        <f>IF(A233="","",MONTH(A233))</f>
        <v/>
      </c>
    </row>
    <row r="234">
      <c r="A234" s="18" t="n"/>
      <c r="B234" s="15" t="n"/>
      <c r="C234" s="15" t="n"/>
      <c r="D234" s="15" t="n"/>
      <c r="E234" s="15" t="n"/>
      <c r="F234" s="15" t="n"/>
      <c r="G234" s="17" t="n"/>
      <c r="H234" s="17" t="n"/>
      <c r="I234" s="7">
        <f>IF(AND(G234="",H234=""),"",Paramètres!$B$5+SUM(G$5:G234)-SUM(H$5:H234))</f>
        <v/>
      </c>
      <c r="J234" s="12">
        <f>IF(A234="","",MONTH(A234))</f>
        <v/>
      </c>
    </row>
    <row r="235">
      <c r="A235" s="18" t="n"/>
      <c r="B235" s="15" t="n"/>
      <c r="C235" s="15" t="n"/>
      <c r="D235" s="15" t="n"/>
      <c r="E235" s="15" t="n"/>
      <c r="F235" s="15" t="n"/>
      <c r="G235" s="17" t="n"/>
      <c r="H235" s="17" t="n"/>
      <c r="I235" s="7">
        <f>IF(AND(G235="",H235=""),"",Paramètres!$B$5+SUM(G$5:G235)-SUM(H$5:H235))</f>
        <v/>
      </c>
      <c r="J235" s="12">
        <f>IF(A235="","",MONTH(A235))</f>
        <v/>
      </c>
    </row>
    <row r="236">
      <c r="A236" s="18" t="n"/>
      <c r="B236" s="15" t="n"/>
      <c r="C236" s="15" t="n"/>
      <c r="D236" s="15" t="n"/>
      <c r="E236" s="15" t="n"/>
      <c r="F236" s="15" t="n"/>
      <c r="G236" s="17" t="n"/>
      <c r="H236" s="17" t="n"/>
      <c r="I236" s="7">
        <f>IF(AND(G236="",H236=""),"",Paramètres!$B$5+SUM(G$5:G236)-SUM(H$5:H236))</f>
        <v/>
      </c>
      <c r="J236" s="12">
        <f>IF(A236="","",MONTH(A236))</f>
        <v/>
      </c>
    </row>
    <row r="237">
      <c r="A237" s="18" t="n"/>
      <c r="B237" s="15" t="n"/>
      <c r="C237" s="15" t="n"/>
      <c r="D237" s="15" t="n"/>
      <c r="E237" s="15" t="n"/>
      <c r="F237" s="15" t="n"/>
      <c r="G237" s="17" t="n"/>
      <c r="H237" s="17" t="n"/>
      <c r="I237" s="7">
        <f>IF(AND(G237="",H237=""),"",Paramètres!$B$5+SUM(G$5:G237)-SUM(H$5:H237))</f>
        <v/>
      </c>
      <c r="J237" s="12">
        <f>IF(A237="","",MONTH(A237))</f>
        <v/>
      </c>
    </row>
    <row r="238">
      <c r="A238" s="18" t="n"/>
      <c r="B238" s="15" t="n"/>
      <c r="C238" s="15" t="n"/>
      <c r="D238" s="15" t="n"/>
      <c r="E238" s="15" t="n"/>
      <c r="F238" s="15" t="n"/>
      <c r="G238" s="17" t="n"/>
      <c r="H238" s="17" t="n"/>
      <c r="I238" s="7">
        <f>IF(AND(G238="",H238=""),"",Paramètres!$B$5+SUM(G$5:G238)-SUM(H$5:H238))</f>
        <v/>
      </c>
      <c r="J238" s="12">
        <f>IF(A238="","",MONTH(A238))</f>
        <v/>
      </c>
    </row>
    <row r="239">
      <c r="A239" s="18" t="n"/>
      <c r="B239" s="15" t="n"/>
      <c r="C239" s="15" t="n"/>
      <c r="D239" s="15" t="n"/>
      <c r="E239" s="15" t="n"/>
      <c r="F239" s="15" t="n"/>
      <c r="G239" s="17" t="n"/>
      <c r="H239" s="17" t="n"/>
      <c r="I239" s="7">
        <f>IF(AND(G239="",H239=""),"",Paramètres!$B$5+SUM(G$5:G239)-SUM(H$5:H239))</f>
        <v/>
      </c>
      <c r="J239" s="12">
        <f>IF(A239="","",MONTH(A239))</f>
        <v/>
      </c>
    </row>
    <row r="240">
      <c r="A240" s="18" t="n"/>
      <c r="B240" s="15" t="n"/>
      <c r="C240" s="15" t="n"/>
      <c r="D240" s="15" t="n"/>
      <c r="E240" s="15" t="n"/>
      <c r="F240" s="15" t="n"/>
      <c r="G240" s="17" t="n"/>
      <c r="H240" s="17" t="n"/>
      <c r="I240" s="7">
        <f>IF(AND(G240="",H240=""),"",Paramètres!$B$5+SUM(G$5:G240)-SUM(H$5:H240))</f>
        <v/>
      </c>
      <c r="J240" s="12">
        <f>IF(A240="","",MONTH(A240))</f>
        <v/>
      </c>
    </row>
    <row r="241">
      <c r="A241" s="18" t="n"/>
      <c r="B241" s="15" t="n"/>
      <c r="C241" s="15" t="n"/>
      <c r="D241" s="15" t="n"/>
      <c r="E241" s="15" t="n"/>
      <c r="F241" s="15" t="n"/>
      <c r="G241" s="17" t="n"/>
      <c r="H241" s="17" t="n"/>
      <c r="I241" s="7">
        <f>IF(AND(G241="",H241=""),"",Paramètres!$B$5+SUM(G$5:G241)-SUM(H$5:H241))</f>
        <v/>
      </c>
      <c r="J241" s="12">
        <f>IF(A241="","",MONTH(A241))</f>
        <v/>
      </c>
    </row>
    <row r="242">
      <c r="A242" s="18" t="n"/>
      <c r="B242" s="15" t="n"/>
      <c r="C242" s="15" t="n"/>
      <c r="D242" s="15" t="n"/>
      <c r="E242" s="15" t="n"/>
      <c r="F242" s="15" t="n"/>
      <c r="G242" s="17" t="n"/>
      <c r="H242" s="17" t="n"/>
      <c r="I242" s="7">
        <f>IF(AND(G242="",H242=""),"",Paramètres!$B$5+SUM(G$5:G242)-SUM(H$5:H242))</f>
        <v/>
      </c>
      <c r="J242" s="12">
        <f>IF(A242="","",MONTH(A242))</f>
        <v/>
      </c>
    </row>
    <row r="243">
      <c r="A243" s="18" t="n"/>
      <c r="B243" s="15" t="n"/>
      <c r="C243" s="15" t="n"/>
      <c r="D243" s="15" t="n"/>
      <c r="E243" s="15" t="n"/>
      <c r="F243" s="15" t="n"/>
      <c r="G243" s="17" t="n"/>
      <c r="H243" s="17" t="n"/>
      <c r="I243" s="7">
        <f>IF(AND(G243="",H243=""),"",Paramètres!$B$5+SUM(G$5:G243)-SUM(H$5:H243))</f>
        <v/>
      </c>
      <c r="J243" s="12">
        <f>IF(A243="","",MONTH(A243))</f>
        <v/>
      </c>
    </row>
    <row r="244">
      <c r="A244" s="18" t="n"/>
      <c r="B244" s="15" t="n"/>
      <c r="C244" s="15" t="n"/>
      <c r="D244" s="15" t="n"/>
      <c r="E244" s="15" t="n"/>
      <c r="F244" s="15" t="n"/>
      <c r="G244" s="17" t="n"/>
      <c r="H244" s="17" t="n"/>
      <c r="I244" s="7">
        <f>IF(AND(G244="",H244=""),"",Paramètres!$B$5+SUM(G$5:G244)-SUM(H$5:H244))</f>
        <v/>
      </c>
      <c r="J244" s="12">
        <f>IF(A244="","",MONTH(A244))</f>
        <v/>
      </c>
    </row>
    <row r="245">
      <c r="A245" s="18" t="n"/>
      <c r="B245" s="15" t="n"/>
      <c r="C245" s="15" t="n"/>
      <c r="D245" s="15" t="n"/>
      <c r="E245" s="15" t="n"/>
      <c r="F245" s="15" t="n"/>
      <c r="G245" s="17" t="n"/>
      <c r="H245" s="17" t="n"/>
      <c r="I245" s="7">
        <f>IF(AND(G245="",H245=""),"",Paramètres!$B$5+SUM(G$5:G245)-SUM(H$5:H245))</f>
        <v/>
      </c>
      <c r="J245" s="12">
        <f>IF(A245="","",MONTH(A245))</f>
        <v/>
      </c>
    </row>
    <row r="246">
      <c r="A246" s="18" t="n"/>
      <c r="B246" s="15" t="n"/>
      <c r="C246" s="15" t="n"/>
      <c r="D246" s="15" t="n"/>
      <c r="E246" s="15" t="n"/>
      <c r="F246" s="15" t="n"/>
      <c r="G246" s="17" t="n"/>
      <c r="H246" s="17" t="n"/>
      <c r="I246" s="7">
        <f>IF(AND(G246="",H246=""),"",Paramètres!$B$5+SUM(G$5:G246)-SUM(H$5:H246))</f>
        <v/>
      </c>
      <c r="J246" s="12">
        <f>IF(A246="","",MONTH(A246))</f>
        <v/>
      </c>
    </row>
    <row r="247">
      <c r="A247" s="18" t="n"/>
      <c r="B247" s="15" t="n"/>
      <c r="C247" s="15" t="n"/>
      <c r="D247" s="15" t="n"/>
      <c r="E247" s="15" t="n"/>
      <c r="F247" s="15" t="n"/>
      <c r="G247" s="17" t="n"/>
      <c r="H247" s="17" t="n"/>
      <c r="I247" s="7">
        <f>IF(AND(G247="",H247=""),"",Paramètres!$B$5+SUM(G$5:G247)-SUM(H$5:H247))</f>
        <v/>
      </c>
      <c r="J247" s="12">
        <f>IF(A247="","",MONTH(A247))</f>
        <v/>
      </c>
    </row>
    <row r="248">
      <c r="A248" s="18" t="n"/>
      <c r="B248" s="15" t="n"/>
      <c r="C248" s="15" t="n"/>
      <c r="D248" s="15" t="n"/>
      <c r="E248" s="15" t="n"/>
      <c r="F248" s="15" t="n"/>
      <c r="G248" s="17" t="n"/>
      <c r="H248" s="17" t="n"/>
      <c r="I248" s="7">
        <f>IF(AND(G248="",H248=""),"",Paramètres!$B$5+SUM(G$5:G248)-SUM(H$5:H248))</f>
        <v/>
      </c>
      <c r="J248" s="12">
        <f>IF(A248="","",MONTH(A248))</f>
        <v/>
      </c>
    </row>
    <row r="249">
      <c r="A249" s="18" t="n"/>
      <c r="B249" s="15" t="n"/>
      <c r="C249" s="15" t="n"/>
      <c r="D249" s="15" t="n"/>
      <c r="E249" s="15" t="n"/>
      <c r="F249" s="15" t="n"/>
      <c r="G249" s="17" t="n"/>
      <c r="H249" s="17" t="n"/>
      <c r="I249" s="7">
        <f>IF(AND(G249="",H249=""),"",Paramètres!$B$5+SUM(G$5:G249)-SUM(H$5:H249))</f>
        <v/>
      </c>
      <c r="J249" s="12">
        <f>IF(A249="","",MONTH(A249))</f>
        <v/>
      </c>
    </row>
    <row r="250">
      <c r="A250" s="18" t="n"/>
      <c r="B250" s="15" t="n"/>
      <c r="C250" s="15" t="n"/>
      <c r="D250" s="15" t="n"/>
      <c r="E250" s="15" t="n"/>
      <c r="F250" s="15" t="n"/>
      <c r="G250" s="17" t="n"/>
      <c r="H250" s="17" t="n"/>
      <c r="I250" s="7">
        <f>IF(AND(G250="",H250=""),"",Paramètres!$B$5+SUM(G$5:G250)-SUM(H$5:H250))</f>
        <v/>
      </c>
      <c r="J250" s="12">
        <f>IF(A250="","",MONTH(A250))</f>
        <v/>
      </c>
    </row>
    <row r="251">
      <c r="A251" s="18" t="n"/>
      <c r="B251" s="15" t="n"/>
      <c r="C251" s="15" t="n"/>
      <c r="D251" s="15" t="n"/>
      <c r="E251" s="15" t="n"/>
      <c r="F251" s="15" t="n"/>
      <c r="G251" s="17" t="n"/>
      <c r="H251" s="17" t="n"/>
      <c r="I251" s="7">
        <f>IF(AND(G251="",H251=""),"",Paramètres!$B$5+SUM(G$5:G251)-SUM(H$5:H251))</f>
        <v/>
      </c>
      <c r="J251" s="12">
        <f>IF(A251="","",MONTH(A251))</f>
        <v/>
      </c>
    </row>
    <row r="252">
      <c r="A252" s="18" t="n"/>
      <c r="B252" s="15" t="n"/>
      <c r="C252" s="15" t="n"/>
      <c r="D252" s="15" t="n"/>
      <c r="E252" s="15" t="n"/>
      <c r="F252" s="15" t="n"/>
      <c r="G252" s="17" t="n"/>
      <c r="H252" s="17" t="n"/>
      <c r="I252" s="7">
        <f>IF(AND(G252="",H252=""),"",Paramètres!$B$5+SUM(G$5:G252)-SUM(H$5:H252))</f>
        <v/>
      </c>
      <c r="J252" s="12">
        <f>IF(A252="","",MONTH(A252))</f>
        <v/>
      </c>
    </row>
    <row r="253">
      <c r="A253" s="18" t="n"/>
      <c r="B253" s="15" t="n"/>
      <c r="C253" s="15" t="n"/>
      <c r="D253" s="15" t="n"/>
      <c r="E253" s="15" t="n"/>
      <c r="F253" s="15" t="n"/>
      <c r="G253" s="17" t="n"/>
      <c r="H253" s="17" t="n"/>
      <c r="I253" s="7">
        <f>IF(AND(G253="",H253=""),"",Paramètres!$B$5+SUM(G$5:G253)-SUM(H$5:H253))</f>
        <v/>
      </c>
      <c r="J253" s="12">
        <f>IF(A253="","",MONTH(A253))</f>
        <v/>
      </c>
    </row>
    <row r="254">
      <c r="A254" s="18" t="n"/>
      <c r="B254" s="15" t="n"/>
      <c r="C254" s="15" t="n"/>
      <c r="D254" s="15" t="n"/>
      <c r="E254" s="15" t="n"/>
      <c r="F254" s="15" t="n"/>
      <c r="G254" s="17" t="n"/>
      <c r="H254" s="17" t="n"/>
      <c r="I254" s="7">
        <f>IF(AND(G254="",H254=""),"",Paramètres!$B$5+SUM(G$5:G254)-SUM(H$5:H254))</f>
        <v/>
      </c>
      <c r="J254" s="12">
        <f>IF(A254="","",MONTH(A254))</f>
        <v/>
      </c>
    </row>
    <row r="255">
      <c r="A255" s="18" t="n"/>
      <c r="B255" s="15" t="n"/>
      <c r="C255" s="15" t="n"/>
      <c r="D255" s="15" t="n"/>
      <c r="E255" s="15" t="n"/>
      <c r="F255" s="15" t="n"/>
      <c r="G255" s="17" t="n"/>
      <c r="H255" s="17" t="n"/>
      <c r="I255" s="7">
        <f>IF(AND(G255="",H255=""),"",Paramètres!$B$5+SUM(G$5:G255)-SUM(H$5:H255))</f>
        <v/>
      </c>
      <c r="J255" s="12">
        <f>IF(A255="","",MONTH(A255))</f>
        <v/>
      </c>
    </row>
    <row r="256">
      <c r="A256" s="18" t="n"/>
      <c r="B256" s="15" t="n"/>
      <c r="C256" s="15" t="n"/>
      <c r="D256" s="15" t="n"/>
      <c r="E256" s="15" t="n"/>
      <c r="F256" s="15" t="n"/>
      <c r="G256" s="17" t="n"/>
      <c r="H256" s="17" t="n"/>
      <c r="I256" s="7">
        <f>IF(AND(G256="",H256=""),"",Paramètres!$B$5+SUM(G$5:G256)-SUM(H$5:H256))</f>
        <v/>
      </c>
      <c r="J256" s="12">
        <f>IF(A256="","",MONTH(A256))</f>
        <v/>
      </c>
    </row>
    <row r="257">
      <c r="A257" s="18" t="n"/>
      <c r="B257" s="15" t="n"/>
      <c r="C257" s="15" t="n"/>
      <c r="D257" s="15" t="n"/>
      <c r="E257" s="15" t="n"/>
      <c r="F257" s="15" t="n"/>
      <c r="G257" s="17" t="n"/>
      <c r="H257" s="17" t="n"/>
      <c r="I257" s="7">
        <f>IF(AND(G257="",H257=""),"",Paramètres!$B$5+SUM(G$5:G257)-SUM(H$5:H257))</f>
        <v/>
      </c>
      <c r="J257" s="12">
        <f>IF(A257="","",MONTH(A257))</f>
        <v/>
      </c>
    </row>
    <row r="258">
      <c r="A258" s="18" t="n"/>
      <c r="B258" s="15" t="n"/>
      <c r="C258" s="15" t="n"/>
      <c r="D258" s="15" t="n"/>
      <c r="E258" s="15" t="n"/>
      <c r="F258" s="15" t="n"/>
      <c r="G258" s="17" t="n"/>
      <c r="H258" s="17" t="n"/>
      <c r="I258" s="7">
        <f>IF(AND(G258="",H258=""),"",Paramètres!$B$5+SUM(G$5:G258)-SUM(H$5:H258))</f>
        <v/>
      </c>
      <c r="J258" s="12">
        <f>IF(A258="","",MONTH(A258))</f>
        <v/>
      </c>
    </row>
    <row r="259">
      <c r="A259" s="18" t="n"/>
      <c r="B259" s="15" t="n"/>
      <c r="C259" s="15" t="n"/>
      <c r="D259" s="15" t="n"/>
      <c r="E259" s="15" t="n"/>
      <c r="F259" s="15" t="n"/>
      <c r="G259" s="17" t="n"/>
      <c r="H259" s="17" t="n"/>
      <c r="I259" s="7">
        <f>IF(AND(G259="",H259=""),"",Paramètres!$B$5+SUM(G$5:G259)-SUM(H$5:H259))</f>
        <v/>
      </c>
      <c r="J259" s="12">
        <f>IF(A259="","",MONTH(A259))</f>
        <v/>
      </c>
    </row>
    <row r="260">
      <c r="A260" s="18" t="n"/>
      <c r="B260" s="15" t="n"/>
      <c r="C260" s="15" t="n"/>
      <c r="D260" s="15" t="n"/>
      <c r="E260" s="15" t="n"/>
      <c r="F260" s="15" t="n"/>
      <c r="G260" s="17" t="n"/>
      <c r="H260" s="17" t="n"/>
      <c r="I260" s="7">
        <f>IF(AND(G260="",H260=""),"",Paramètres!$B$5+SUM(G$5:G260)-SUM(H$5:H260))</f>
        <v/>
      </c>
      <c r="J260" s="12">
        <f>IF(A260="","",MONTH(A260))</f>
        <v/>
      </c>
    </row>
    <row r="261">
      <c r="A261" s="18" t="n"/>
      <c r="B261" s="15" t="n"/>
      <c r="C261" s="15" t="n"/>
      <c r="D261" s="15" t="n"/>
      <c r="E261" s="15" t="n"/>
      <c r="F261" s="15" t="n"/>
      <c r="G261" s="17" t="n"/>
      <c r="H261" s="17" t="n"/>
      <c r="I261" s="7">
        <f>IF(AND(G261="",H261=""),"",Paramètres!$B$5+SUM(G$5:G261)-SUM(H$5:H261))</f>
        <v/>
      </c>
      <c r="J261" s="12">
        <f>IF(A261="","",MONTH(A261))</f>
        <v/>
      </c>
    </row>
    <row r="262">
      <c r="A262" s="18" t="n"/>
      <c r="B262" s="15" t="n"/>
      <c r="C262" s="15" t="n"/>
      <c r="D262" s="15" t="n"/>
      <c r="E262" s="15" t="n"/>
      <c r="F262" s="15" t="n"/>
      <c r="G262" s="17" t="n"/>
      <c r="H262" s="17" t="n"/>
      <c r="I262" s="7">
        <f>IF(AND(G262="",H262=""),"",Paramètres!$B$5+SUM(G$5:G262)-SUM(H$5:H262))</f>
        <v/>
      </c>
      <c r="J262" s="12">
        <f>IF(A262="","",MONTH(A262))</f>
        <v/>
      </c>
    </row>
    <row r="263">
      <c r="A263" s="18" t="n"/>
      <c r="B263" s="15" t="n"/>
      <c r="C263" s="15" t="n"/>
      <c r="D263" s="15" t="n"/>
      <c r="E263" s="15" t="n"/>
      <c r="F263" s="15" t="n"/>
      <c r="G263" s="17" t="n"/>
      <c r="H263" s="17" t="n"/>
      <c r="I263" s="7">
        <f>IF(AND(G263="",H263=""),"",Paramètres!$B$5+SUM(G$5:G263)-SUM(H$5:H263))</f>
        <v/>
      </c>
      <c r="J263" s="12">
        <f>IF(A263="","",MONTH(A263))</f>
        <v/>
      </c>
    </row>
    <row r="264">
      <c r="A264" s="18" t="n"/>
      <c r="B264" s="15" t="n"/>
      <c r="C264" s="15" t="n"/>
      <c r="D264" s="15" t="n"/>
      <c r="E264" s="15" t="n"/>
      <c r="F264" s="15" t="n"/>
      <c r="G264" s="17" t="n"/>
      <c r="H264" s="17" t="n"/>
      <c r="I264" s="7">
        <f>IF(AND(G264="",H264=""),"",Paramètres!$B$5+SUM(G$5:G264)-SUM(H$5:H264))</f>
        <v/>
      </c>
      <c r="J264" s="12">
        <f>IF(A264="","",MONTH(A264))</f>
        <v/>
      </c>
    </row>
    <row r="265">
      <c r="A265" s="18" t="n"/>
      <c r="B265" s="15" t="n"/>
      <c r="C265" s="15" t="n"/>
      <c r="D265" s="15" t="n"/>
      <c r="E265" s="15" t="n"/>
      <c r="F265" s="15" t="n"/>
      <c r="G265" s="17" t="n"/>
      <c r="H265" s="17" t="n"/>
      <c r="I265" s="7">
        <f>IF(AND(G265="",H265=""),"",Paramètres!$B$5+SUM(G$5:G265)-SUM(H$5:H265))</f>
        <v/>
      </c>
      <c r="J265" s="12">
        <f>IF(A265="","",MONTH(A265))</f>
        <v/>
      </c>
    </row>
    <row r="266">
      <c r="A266" s="18" t="n"/>
      <c r="B266" s="15" t="n"/>
      <c r="C266" s="15" t="n"/>
      <c r="D266" s="15" t="n"/>
      <c r="E266" s="15" t="n"/>
      <c r="F266" s="15" t="n"/>
      <c r="G266" s="17" t="n"/>
      <c r="H266" s="17" t="n"/>
      <c r="I266" s="7">
        <f>IF(AND(G266="",H266=""),"",Paramètres!$B$5+SUM(G$5:G266)-SUM(H$5:H266))</f>
        <v/>
      </c>
      <c r="J266" s="12">
        <f>IF(A266="","",MONTH(A266))</f>
        <v/>
      </c>
    </row>
    <row r="267">
      <c r="A267" s="18" t="n"/>
      <c r="B267" s="15" t="n"/>
      <c r="C267" s="15" t="n"/>
      <c r="D267" s="15" t="n"/>
      <c r="E267" s="15" t="n"/>
      <c r="F267" s="15" t="n"/>
      <c r="G267" s="17" t="n"/>
      <c r="H267" s="17" t="n"/>
      <c r="I267" s="7">
        <f>IF(AND(G267="",H267=""),"",Paramètres!$B$5+SUM(G$5:G267)-SUM(H$5:H267))</f>
        <v/>
      </c>
      <c r="J267" s="12">
        <f>IF(A267="","",MONTH(A267))</f>
        <v/>
      </c>
    </row>
    <row r="268">
      <c r="A268" s="18" t="n"/>
      <c r="B268" s="15" t="n"/>
      <c r="C268" s="15" t="n"/>
      <c r="D268" s="15" t="n"/>
      <c r="E268" s="15" t="n"/>
      <c r="F268" s="15" t="n"/>
      <c r="G268" s="17" t="n"/>
      <c r="H268" s="17" t="n"/>
      <c r="I268" s="7">
        <f>IF(AND(G268="",H268=""),"",Paramètres!$B$5+SUM(G$5:G268)-SUM(H$5:H268))</f>
        <v/>
      </c>
      <c r="J268" s="12">
        <f>IF(A268="","",MONTH(A268))</f>
        <v/>
      </c>
    </row>
    <row r="269">
      <c r="A269" s="18" t="n"/>
      <c r="B269" s="15" t="n"/>
      <c r="C269" s="15" t="n"/>
      <c r="D269" s="15" t="n"/>
      <c r="E269" s="15" t="n"/>
      <c r="F269" s="15" t="n"/>
      <c r="G269" s="17" t="n"/>
      <c r="H269" s="17" t="n"/>
      <c r="I269" s="7">
        <f>IF(AND(G269="",H269=""),"",Paramètres!$B$5+SUM(G$5:G269)-SUM(H$5:H269))</f>
        <v/>
      </c>
      <c r="J269" s="12">
        <f>IF(A269="","",MONTH(A269))</f>
        <v/>
      </c>
    </row>
    <row r="270">
      <c r="A270" s="18" t="n"/>
      <c r="B270" s="15" t="n"/>
      <c r="C270" s="15" t="n"/>
      <c r="D270" s="15" t="n"/>
      <c r="E270" s="15" t="n"/>
      <c r="F270" s="15" t="n"/>
      <c r="G270" s="17" t="n"/>
      <c r="H270" s="17" t="n"/>
      <c r="I270" s="7">
        <f>IF(AND(G270="",H270=""),"",Paramètres!$B$5+SUM(G$5:G270)-SUM(H$5:H270))</f>
        <v/>
      </c>
      <c r="J270" s="12">
        <f>IF(A270="","",MONTH(A270))</f>
        <v/>
      </c>
    </row>
    <row r="271">
      <c r="A271" s="18" t="n"/>
      <c r="B271" s="15" t="n"/>
      <c r="C271" s="15" t="n"/>
      <c r="D271" s="15" t="n"/>
      <c r="E271" s="15" t="n"/>
      <c r="F271" s="15" t="n"/>
      <c r="G271" s="17" t="n"/>
      <c r="H271" s="17" t="n"/>
      <c r="I271" s="7">
        <f>IF(AND(G271="",H271=""),"",Paramètres!$B$5+SUM(G$5:G271)-SUM(H$5:H271))</f>
        <v/>
      </c>
      <c r="J271" s="12">
        <f>IF(A271="","",MONTH(A271))</f>
        <v/>
      </c>
    </row>
    <row r="272">
      <c r="A272" s="18" t="n"/>
      <c r="B272" s="15" t="n"/>
      <c r="C272" s="15" t="n"/>
      <c r="D272" s="15" t="n"/>
      <c r="E272" s="15" t="n"/>
      <c r="F272" s="15" t="n"/>
      <c r="G272" s="17" t="n"/>
      <c r="H272" s="17" t="n"/>
      <c r="I272" s="7">
        <f>IF(AND(G272="",H272=""),"",Paramètres!$B$5+SUM(G$5:G272)-SUM(H$5:H272))</f>
        <v/>
      </c>
      <c r="J272" s="12">
        <f>IF(A272="","",MONTH(A272))</f>
        <v/>
      </c>
    </row>
    <row r="273">
      <c r="A273" s="18" t="n"/>
      <c r="B273" s="15" t="n"/>
      <c r="C273" s="15" t="n"/>
      <c r="D273" s="15" t="n"/>
      <c r="E273" s="15" t="n"/>
      <c r="F273" s="15" t="n"/>
      <c r="G273" s="17" t="n"/>
      <c r="H273" s="17" t="n"/>
      <c r="I273" s="7">
        <f>IF(AND(G273="",H273=""),"",Paramètres!$B$5+SUM(G$5:G273)-SUM(H$5:H273))</f>
        <v/>
      </c>
      <c r="J273" s="12">
        <f>IF(A273="","",MONTH(A273))</f>
        <v/>
      </c>
    </row>
    <row r="274">
      <c r="A274" s="18" t="n"/>
      <c r="B274" s="15" t="n"/>
      <c r="C274" s="15" t="n"/>
      <c r="D274" s="15" t="n"/>
      <c r="E274" s="15" t="n"/>
      <c r="F274" s="15" t="n"/>
      <c r="G274" s="17" t="n"/>
      <c r="H274" s="17" t="n"/>
      <c r="I274" s="7">
        <f>IF(AND(G274="",H274=""),"",Paramètres!$B$5+SUM(G$5:G274)-SUM(H$5:H274))</f>
        <v/>
      </c>
      <c r="J274" s="12">
        <f>IF(A274="","",MONTH(A274))</f>
        <v/>
      </c>
    </row>
    <row r="275">
      <c r="A275" s="18" t="n"/>
      <c r="B275" s="15" t="n"/>
      <c r="C275" s="15" t="n"/>
      <c r="D275" s="15" t="n"/>
      <c r="E275" s="15" t="n"/>
      <c r="F275" s="15" t="n"/>
      <c r="G275" s="17" t="n"/>
      <c r="H275" s="17" t="n"/>
      <c r="I275" s="7">
        <f>IF(AND(G275="",H275=""),"",Paramètres!$B$5+SUM(G$5:G275)-SUM(H$5:H275))</f>
        <v/>
      </c>
      <c r="J275" s="12">
        <f>IF(A275="","",MONTH(A275))</f>
        <v/>
      </c>
    </row>
    <row r="276">
      <c r="A276" s="18" t="n"/>
      <c r="B276" s="15" t="n"/>
      <c r="C276" s="15" t="n"/>
      <c r="D276" s="15" t="n"/>
      <c r="E276" s="15" t="n"/>
      <c r="F276" s="15" t="n"/>
      <c r="G276" s="17" t="n"/>
      <c r="H276" s="17" t="n"/>
      <c r="I276" s="7">
        <f>IF(AND(G276="",H276=""),"",Paramètres!$B$5+SUM(G$5:G276)-SUM(H$5:H276))</f>
        <v/>
      </c>
      <c r="J276" s="12">
        <f>IF(A276="","",MONTH(A276))</f>
        <v/>
      </c>
    </row>
    <row r="277">
      <c r="A277" s="18" t="n"/>
      <c r="B277" s="15" t="n"/>
      <c r="C277" s="15" t="n"/>
      <c r="D277" s="15" t="n"/>
      <c r="E277" s="15" t="n"/>
      <c r="F277" s="15" t="n"/>
      <c r="G277" s="17" t="n"/>
      <c r="H277" s="17" t="n"/>
      <c r="I277" s="7">
        <f>IF(AND(G277="",H277=""),"",Paramètres!$B$5+SUM(G$5:G277)-SUM(H$5:H277))</f>
        <v/>
      </c>
      <c r="J277" s="12">
        <f>IF(A277="","",MONTH(A277))</f>
        <v/>
      </c>
    </row>
    <row r="278">
      <c r="A278" s="18" t="n"/>
      <c r="B278" s="15" t="n"/>
      <c r="C278" s="15" t="n"/>
      <c r="D278" s="15" t="n"/>
      <c r="E278" s="15" t="n"/>
      <c r="F278" s="15" t="n"/>
      <c r="G278" s="17" t="n"/>
      <c r="H278" s="17" t="n"/>
      <c r="I278" s="7">
        <f>IF(AND(G278="",H278=""),"",Paramètres!$B$5+SUM(G$5:G278)-SUM(H$5:H278))</f>
        <v/>
      </c>
      <c r="J278" s="12">
        <f>IF(A278="","",MONTH(A278))</f>
        <v/>
      </c>
    </row>
    <row r="279">
      <c r="A279" s="18" t="n"/>
      <c r="B279" s="15" t="n"/>
      <c r="C279" s="15" t="n"/>
      <c r="D279" s="15" t="n"/>
      <c r="E279" s="15" t="n"/>
      <c r="F279" s="15" t="n"/>
      <c r="G279" s="17" t="n"/>
      <c r="H279" s="17" t="n"/>
      <c r="I279" s="7">
        <f>IF(AND(G279="",H279=""),"",Paramètres!$B$5+SUM(G$5:G279)-SUM(H$5:H279))</f>
        <v/>
      </c>
      <c r="J279" s="12">
        <f>IF(A279="","",MONTH(A279))</f>
        <v/>
      </c>
    </row>
    <row r="280">
      <c r="A280" s="18" t="n"/>
      <c r="B280" s="15" t="n"/>
      <c r="C280" s="15" t="n"/>
      <c r="D280" s="15" t="n"/>
      <c r="E280" s="15" t="n"/>
      <c r="F280" s="15" t="n"/>
      <c r="G280" s="17" t="n"/>
      <c r="H280" s="17" t="n"/>
      <c r="I280" s="7">
        <f>IF(AND(G280="",H280=""),"",Paramètres!$B$5+SUM(G$5:G280)-SUM(H$5:H280))</f>
        <v/>
      </c>
      <c r="J280" s="12">
        <f>IF(A280="","",MONTH(A280))</f>
        <v/>
      </c>
    </row>
    <row r="281">
      <c r="A281" s="18" t="n"/>
      <c r="B281" s="15" t="n"/>
      <c r="C281" s="15" t="n"/>
      <c r="D281" s="15" t="n"/>
      <c r="E281" s="15" t="n"/>
      <c r="F281" s="15" t="n"/>
      <c r="G281" s="17" t="n"/>
      <c r="H281" s="17" t="n"/>
      <c r="I281" s="7">
        <f>IF(AND(G281="",H281=""),"",Paramètres!$B$5+SUM(G$5:G281)-SUM(H$5:H281))</f>
        <v/>
      </c>
      <c r="J281" s="12">
        <f>IF(A281="","",MONTH(A281))</f>
        <v/>
      </c>
    </row>
    <row r="282">
      <c r="A282" s="18" t="n"/>
      <c r="B282" s="15" t="n"/>
      <c r="C282" s="15" t="n"/>
      <c r="D282" s="15" t="n"/>
      <c r="E282" s="15" t="n"/>
      <c r="F282" s="15" t="n"/>
      <c r="G282" s="17" t="n"/>
      <c r="H282" s="17" t="n"/>
      <c r="I282" s="7">
        <f>IF(AND(G282="",H282=""),"",Paramètres!$B$5+SUM(G$5:G282)-SUM(H$5:H282))</f>
        <v/>
      </c>
      <c r="J282" s="12">
        <f>IF(A282="","",MONTH(A282))</f>
        <v/>
      </c>
    </row>
    <row r="283">
      <c r="A283" s="18" t="n"/>
      <c r="B283" s="15" t="n"/>
      <c r="C283" s="15" t="n"/>
      <c r="D283" s="15" t="n"/>
      <c r="E283" s="15" t="n"/>
      <c r="F283" s="15" t="n"/>
      <c r="G283" s="17" t="n"/>
      <c r="H283" s="17" t="n"/>
      <c r="I283" s="7">
        <f>IF(AND(G283="",H283=""),"",Paramètres!$B$5+SUM(G$5:G283)-SUM(H$5:H283))</f>
        <v/>
      </c>
      <c r="J283" s="12">
        <f>IF(A283="","",MONTH(A283))</f>
        <v/>
      </c>
    </row>
    <row r="284">
      <c r="A284" s="18" t="n"/>
      <c r="B284" s="15" t="n"/>
      <c r="C284" s="15" t="n"/>
      <c r="D284" s="15" t="n"/>
      <c r="E284" s="15" t="n"/>
      <c r="F284" s="15" t="n"/>
      <c r="G284" s="17" t="n"/>
      <c r="H284" s="17" t="n"/>
      <c r="I284" s="7">
        <f>IF(AND(G284="",H284=""),"",Paramètres!$B$5+SUM(G$5:G284)-SUM(H$5:H284))</f>
        <v/>
      </c>
      <c r="J284" s="12">
        <f>IF(A284="","",MONTH(A284))</f>
        <v/>
      </c>
    </row>
    <row r="285">
      <c r="A285" s="18" t="n"/>
      <c r="B285" s="15" t="n"/>
      <c r="C285" s="15" t="n"/>
      <c r="D285" s="15" t="n"/>
      <c r="E285" s="15" t="n"/>
      <c r="F285" s="15" t="n"/>
      <c r="G285" s="17" t="n"/>
      <c r="H285" s="17" t="n"/>
      <c r="I285" s="7">
        <f>IF(AND(G285="",H285=""),"",Paramètres!$B$5+SUM(G$5:G285)-SUM(H$5:H285))</f>
        <v/>
      </c>
      <c r="J285" s="12">
        <f>IF(A285="","",MONTH(A285))</f>
        <v/>
      </c>
    </row>
    <row r="286">
      <c r="A286" s="18" t="n"/>
      <c r="B286" s="15" t="n"/>
      <c r="C286" s="15" t="n"/>
      <c r="D286" s="15" t="n"/>
      <c r="E286" s="15" t="n"/>
      <c r="F286" s="15" t="n"/>
      <c r="G286" s="17" t="n"/>
      <c r="H286" s="17" t="n"/>
      <c r="I286" s="7">
        <f>IF(AND(G286="",H286=""),"",Paramètres!$B$5+SUM(G$5:G286)-SUM(H$5:H286))</f>
        <v/>
      </c>
      <c r="J286" s="12">
        <f>IF(A286="","",MONTH(A286))</f>
        <v/>
      </c>
    </row>
    <row r="287">
      <c r="A287" s="18" t="n"/>
      <c r="B287" s="15" t="n"/>
      <c r="C287" s="15" t="n"/>
      <c r="D287" s="15" t="n"/>
      <c r="E287" s="15" t="n"/>
      <c r="F287" s="15" t="n"/>
      <c r="G287" s="17" t="n"/>
      <c r="H287" s="17" t="n"/>
      <c r="I287" s="7">
        <f>IF(AND(G287="",H287=""),"",Paramètres!$B$5+SUM(G$5:G287)-SUM(H$5:H287))</f>
        <v/>
      </c>
      <c r="J287" s="12">
        <f>IF(A287="","",MONTH(A287))</f>
        <v/>
      </c>
    </row>
    <row r="288">
      <c r="A288" s="18" t="n"/>
      <c r="B288" s="15" t="n"/>
      <c r="C288" s="15" t="n"/>
      <c r="D288" s="15" t="n"/>
      <c r="E288" s="15" t="n"/>
      <c r="F288" s="15" t="n"/>
      <c r="G288" s="17" t="n"/>
      <c r="H288" s="17" t="n"/>
      <c r="I288" s="7">
        <f>IF(AND(G288="",H288=""),"",Paramètres!$B$5+SUM(G$5:G288)-SUM(H$5:H288))</f>
        <v/>
      </c>
      <c r="J288" s="12">
        <f>IF(A288="","",MONTH(A288))</f>
        <v/>
      </c>
    </row>
    <row r="289">
      <c r="A289" s="18" t="n"/>
      <c r="B289" s="15" t="n"/>
      <c r="C289" s="15" t="n"/>
      <c r="D289" s="15" t="n"/>
      <c r="E289" s="15" t="n"/>
      <c r="F289" s="15" t="n"/>
      <c r="G289" s="17" t="n"/>
      <c r="H289" s="17" t="n"/>
      <c r="I289" s="7">
        <f>IF(AND(G289="",H289=""),"",Paramètres!$B$5+SUM(G$5:G289)-SUM(H$5:H289))</f>
        <v/>
      </c>
      <c r="J289" s="12">
        <f>IF(A289="","",MONTH(A289))</f>
        <v/>
      </c>
    </row>
    <row r="290">
      <c r="A290" s="18" t="n"/>
      <c r="B290" s="15" t="n"/>
      <c r="C290" s="15" t="n"/>
      <c r="D290" s="15" t="n"/>
      <c r="E290" s="15" t="n"/>
      <c r="F290" s="15" t="n"/>
      <c r="G290" s="17" t="n"/>
      <c r="H290" s="17" t="n"/>
      <c r="I290" s="7">
        <f>IF(AND(G290="",H290=""),"",Paramètres!$B$5+SUM(G$5:G290)-SUM(H$5:H290))</f>
        <v/>
      </c>
      <c r="J290" s="12">
        <f>IF(A290="","",MONTH(A290))</f>
        <v/>
      </c>
    </row>
    <row r="291">
      <c r="A291" s="18" t="n"/>
      <c r="B291" s="15" t="n"/>
      <c r="C291" s="15" t="n"/>
      <c r="D291" s="15" t="n"/>
      <c r="E291" s="15" t="n"/>
      <c r="F291" s="15" t="n"/>
      <c r="G291" s="17" t="n"/>
      <c r="H291" s="17" t="n"/>
      <c r="I291" s="7">
        <f>IF(AND(G291="",H291=""),"",Paramètres!$B$5+SUM(G$5:G291)-SUM(H$5:H291))</f>
        <v/>
      </c>
      <c r="J291" s="12">
        <f>IF(A291="","",MONTH(A291))</f>
        <v/>
      </c>
    </row>
    <row r="292">
      <c r="A292" s="18" t="n"/>
      <c r="B292" s="15" t="n"/>
      <c r="C292" s="15" t="n"/>
      <c r="D292" s="15" t="n"/>
      <c r="E292" s="15" t="n"/>
      <c r="F292" s="15" t="n"/>
      <c r="G292" s="17" t="n"/>
      <c r="H292" s="17" t="n"/>
      <c r="I292" s="7">
        <f>IF(AND(G292="",H292=""),"",Paramètres!$B$5+SUM(G$5:G292)-SUM(H$5:H292))</f>
        <v/>
      </c>
      <c r="J292" s="12">
        <f>IF(A292="","",MONTH(A292))</f>
        <v/>
      </c>
    </row>
    <row r="293">
      <c r="A293" s="18" t="n"/>
      <c r="B293" s="15" t="n"/>
      <c r="C293" s="15" t="n"/>
      <c r="D293" s="15" t="n"/>
      <c r="E293" s="15" t="n"/>
      <c r="F293" s="15" t="n"/>
      <c r="G293" s="17" t="n"/>
      <c r="H293" s="17" t="n"/>
      <c r="I293" s="7">
        <f>IF(AND(G293="",H293=""),"",Paramètres!$B$5+SUM(G$5:G293)-SUM(H$5:H293))</f>
        <v/>
      </c>
      <c r="J293" s="12">
        <f>IF(A293="","",MONTH(A293))</f>
        <v/>
      </c>
    </row>
    <row r="294">
      <c r="A294" s="18" t="n"/>
      <c r="B294" s="15" t="n"/>
      <c r="C294" s="15" t="n"/>
      <c r="D294" s="15" t="n"/>
      <c r="E294" s="15" t="n"/>
      <c r="F294" s="15" t="n"/>
      <c r="G294" s="17" t="n"/>
      <c r="H294" s="17" t="n"/>
      <c r="I294" s="7">
        <f>IF(AND(G294="",H294=""),"",Paramètres!$B$5+SUM(G$5:G294)-SUM(H$5:H294))</f>
        <v/>
      </c>
      <c r="J294" s="12">
        <f>IF(A294="","",MONTH(A294))</f>
        <v/>
      </c>
    </row>
    <row r="295">
      <c r="A295" s="18" t="n"/>
      <c r="B295" s="15" t="n"/>
      <c r="C295" s="15" t="n"/>
      <c r="D295" s="15" t="n"/>
      <c r="E295" s="15" t="n"/>
      <c r="F295" s="15" t="n"/>
      <c r="G295" s="17" t="n"/>
      <c r="H295" s="17" t="n"/>
      <c r="I295" s="7">
        <f>IF(AND(G295="",H295=""),"",Paramètres!$B$5+SUM(G$5:G295)-SUM(H$5:H295))</f>
        <v/>
      </c>
      <c r="J295" s="12">
        <f>IF(A295="","",MONTH(A295))</f>
        <v/>
      </c>
    </row>
    <row r="296">
      <c r="A296" s="18" t="n"/>
      <c r="B296" s="15" t="n"/>
      <c r="C296" s="15" t="n"/>
      <c r="D296" s="15" t="n"/>
      <c r="E296" s="15" t="n"/>
      <c r="F296" s="15" t="n"/>
      <c r="G296" s="17" t="n"/>
      <c r="H296" s="17" t="n"/>
      <c r="I296" s="7">
        <f>IF(AND(G296="",H296=""),"",Paramètres!$B$5+SUM(G$5:G296)-SUM(H$5:H296))</f>
        <v/>
      </c>
      <c r="J296" s="12">
        <f>IF(A296="","",MONTH(A296))</f>
        <v/>
      </c>
    </row>
    <row r="297">
      <c r="A297" s="18" t="n"/>
      <c r="B297" s="15" t="n"/>
      <c r="C297" s="15" t="n"/>
      <c r="D297" s="15" t="n"/>
      <c r="E297" s="15" t="n"/>
      <c r="F297" s="15" t="n"/>
      <c r="G297" s="17" t="n"/>
      <c r="H297" s="17" t="n"/>
      <c r="I297" s="7">
        <f>IF(AND(G297="",H297=""),"",Paramètres!$B$5+SUM(G$5:G297)-SUM(H$5:H297))</f>
        <v/>
      </c>
      <c r="J297" s="12">
        <f>IF(A297="","",MONTH(A297))</f>
        <v/>
      </c>
    </row>
    <row r="298">
      <c r="A298" s="18" t="n"/>
      <c r="B298" s="15" t="n"/>
      <c r="C298" s="15" t="n"/>
      <c r="D298" s="15" t="n"/>
      <c r="E298" s="15" t="n"/>
      <c r="F298" s="15" t="n"/>
      <c r="G298" s="17" t="n"/>
      <c r="H298" s="17" t="n"/>
      <c r="I298" s="7">
        <f>IF(AND(G298="",H298=""),"",Paramètres!$B$5+SUM(G$5:G298)-SUM(H$5:H298))</f>
        <v/>
      </c>
      <c r="J298" s="12">
        <f>IF(A298="","",MONTH(A298))</f>
        <v/>
      </c>
    </row>
    <row r="299">
      <c r="A299" s="18" t="n"/>
      <c r="B299" s="15" t="n"/>
      <c r="C299" s="15" t="n"/>
      <c r="D299" s="15" t="n"/>
      <c r="E299" s="15" t="n"/>
      <c r="F299" s="15" t="n"/>
      <c r="G299" s="17" t="n"/>
      <c r="H299" s="17" t="n"/>
      <c r="I299" s="7">
        <f>IF(AND(G299="",H299=""),"",Paramètres!$B$5+SUM(G$5:G299)-SUM(H$5:H299))</f>
        <v/>
      </c>
      <c r="J299" s="12">
        <f>IF(A299="","",MONTH(A299))</f>
        <v/>
      </c>
    </row>
    <row r="300">
      <c r="A300" s="18" t="n"/>
      <c r="B300" s="15" t="n"/>
      <c r="C300" s="15" t="n"/>
      <c r="D300" s="15" t="n"/>
      <c r="E300" s="15" t="n"/>
      <c r="F300" s="15" t="n"/>
      <c r="G300" s="17" t="n"/>
      <c r="H300" s="17" t="n"/>
      <c r="I300" s="7">
        <f>IF(AND(G300="",H300=""),"",Paramètres!$B$5+SUM(G$5:G300)-SUM(H$5:H300))</f>
        <v/>
      </c>
      <c r="J300" s="12">
        <f>IF(A300="","",MONTH(A300))</f>
        <v/>
      </c>
    </row>
    <row r="301">
      <c r="A301" s="18" t="n"/>
      <c r="B301" s="15" t="n"/>
      <c r="C301" s="15" t="n"/>
      <c r="D301" s="15" t="n"/>
      <c r="E301" s="15" t="n"/>
      <c r="F301" s="15" t="n"/>
      <c r="G301" s="17" t="n"/>
      <c r="H301" s="17" t="n"/>
      <c r="I301" s="7">
        <f>IF(AND(G301="",H301=""),"",Paramètres!$B$5+SUM(G$5:G301)-SUM(H$5:H301))</f>
        <v/>
      </c>
      <c r="J301" s="12">
        <f>IF(A301="","",MONTH(A301))</f>
        <v/>
      </c>
    </row>
    <row r="302">
      <c r="A302" s="18" t="n"/>
      <c r="B302" s="15" t="n"/>
      <c r="C302" s="15" t="n"/>
      <c r="D302" s="15" t="n"/>
      <c r="E302" s="15" t="n"/>
      <c r="F302" s="15" t="n"/>
      <c r="G302" s="17" t="n"/>
      <c r="H302" s="17" t="n"/>
      <c r="I302" s="7">
        <f>IF(AND(G302="",H302=""),"",Paramètres!$B$5+SUM(G$5:G302)-SUM(H$5:H302))</f>
        <v/>
      </c>
      <c r="J302" s="12">
        <f>IF(A302="","",MONTH(A302))</f>
        <v/>
      </c>
    </row>
    <row r="303">
      <c r="A303" s="18" t="n"/>
      <c r="B303" s="15" t="n"/>
      <c r="C303" s="15" t="n"/>
      <c r="D303" s="15" t="n"/>
      <c r="E303" s="15" t="n"/>
      <c r="F303" s="15" t="n"/>
      <c r="G303" s="17" t="n"/>
      <c r="H303" s="17" t="n"/>
      <c r="I303" s="7">
        <f>IF(AND(G303="",H303=""),"",Paramètres!$B$5+SUM(G$5:G303)-SUM(H$5:H303))</f>
        <v/>
      </c>
      <c r="J303" s="12">
        <f>IF(A303="","",MONTH(A303))</f>
        <v/>
      </c>
    </row>
    <row r="304">
      <c r="A304" s="18" t="n"/>
      <c r="B304" s="15" t="n"/>
      <c r="C304" s="15" t="n"/>
      <c r="D304" s="15" t="n"/>
      <c r="E304" s="15" t="n"/>
      <c r="F304" s="15" t="n"/>
      <c r="G304" s="17" t="n"/>
      <c r="H304" s="17" t="n"/>
      <c r="I304" s="7">
        <f>IF(AND(G304="",H304=""),"",Paramètres!$B$5+SUM(G$5:G304)-SUM(H$5:H304))</f>
        <v/>
      </c>
      <c r="J304" s="12">
        <f>IF(A304="","",MONTH(A304))</f>
        <v/>
      </c>
    </row>
    <row r="305">
      <c r="A305" s="18" t="n"/>
      <c r="B305" s="15" t="n"/>
      <c r="C305" s="15" t="n"/>
      <c r="D305" s="15" t="n"/>
      <c r="E305" s="15" t="n"/>
      <c r="F305" s="15" t="n"/>
      <c r="G305" s="17" t="n"/>
      <c r="H305" s="17" t="n"/>
      <c r="I305" s="7">
        <f>IF(AND(G305="",H305=""),"",Paramètres!$B$5+SUM(G$5:G305)-SUM(H$5:H305))</f>
        <v/>
      </c>
      <c r="J305" s="12">
        <f>IF(A305="","",MONTH(A305))</f>
        <v/>
      </c>
    </row>
    <row r="306">
      <c r="A306" s="18" t="n"/>
      <c r="B306" s="15" t="n"/>
      <c r="C306" s="15" t="n"/>
      <c r="D306" s="15" t="n"/>
      <c r="E306" s="15" t="n"/>
      <c r="F306" s="15" t="n"/>
      <c r="G306" s="17" t="n"/>
      <c r="H306" s="17" t="n"/>
      <c r="I306" s="7">
        <f>IF(AND(G306="",H306=""),"",Paramètres!$B$5+SUM(G$5:G306)-SUM(H$5:H306))</f>
        <v/>
      </c>
      <c r="J306" s="12">
        <f>IF(A306="","",MONTH(A306))</f>
        <v/>
      </c>
    </row>
    <row r="307">
      <c r="A307" s="18" t="n"/>
      <c r="B307" s="15" t="n"/>
      <c r="C307" s="15" t="n"/>
      <c r="D307" s="15" t="n"/>
      <c r="E307" s="15" t="n"/>
      <c r="F307" s="15" t="n"/>
      <c r="G307" s="17" t="n"/>
      <c r="H307" s="17" t="n"/>
      <c r="I307" s="7">
        <f>IF(AND(G307="",H307=""),"",Paramètres!$B$5+SUM(G$5:G307)-SUM(H$5:H307))</f>
        <v/>
      </c>
      <c r="J307" s="12">
        <f>IF(A307="","",MONTH(A307))</f>
        <v/>
      </c>
    </row>
    <row r="308">
      <c r="A308" s="18" t="n"/>
      <c r="B308" s="15" t="n"/>
      <c r="C308" s="15" t="n"/>
      <c r="D308" s="15" t="n"/>
      <c r="E308" s="15" t="n"/>
      <c r="F308" s="15" t="n"/>
      <c r="G308" s="17" t="n"/>
      <c r="H308" s="17" t="n"/>
      <c r="I308" s="7">
        <f>IF(AND(G308="",H308=""),"",Paramètres!$B$5+SUM(G$5:G308)-SUM(H$5:H308))</f>
        <v/>
      </c>
      <c r="J308" s="12">
        <f>IF(A308="","",MONTH(A308))</f>
        <v/>
      </c>
    </row>
    <row r="309">
      <c r="A309" s="18" t="n"/>
      <c r="B309" s="15" t="n"/>
      <c r="C309" s="15" t="n"/>
      <c r="D309" s="15" t="n"/>
      <c r="E309" s="15" t="n"/>
      <c r="F309" s="15" t="n"/>
      <c r="G309" s="17" t="n"/>
      <c r="H309" s="17" t="n"/>
      <c r="I309" s="7">
        <f>IF(AND(G309="",H309=""),"",Paramètres!$B$5+SUM(G$5:G309)-SUM(H$5:H309))</f>
        <v/>
      </c>
      <c r="J309" s="12">
        <f>IF(A309="","",MONTH(A309))</f>
        <v/>
      </c>
    </row>
    <row r="310">
      <c r="A310" s="18" t="n"/>
      <c r="B310" s="15" t="n"/>
      <c r="C310" s="15" t="n"/>
      <c r="D310" s="15" t="n"/>
      <c r="E310" s="15" t="n"/>
      <c r="F310" s="15" t="n"/>
      <c r="G310" s="17" t="n"/>
      <c r="H310" s="17" t="n"/>
      <c r="I310" s="7">
        <f>IF(AND(G310="",H310=""),"",Paramètres!$B$5+SUM(G$5:G310)-SUM(H$5:H310))</f>
        <v/>
      </c>
      <c r="J310" s="12">
        <f>IF(A310="","",MONTH(A310))</f>
        <v/>
      </c>
    </row>
    <row r="311">
      <c r="A311" s="18" t="n"/>
      <c r="B311" s="15" t="n"/>
      <c r="C311" s="15" t="n"/>
      <c r="D311" s="15" t="n"/>
      <c r="E311" s="15" t="n"/>
      <c r="F311" s="15" t="n"/>
      <c r="G311" s="17" t="n"/>
      <c r="H311" s="17" t="n"/>
      <c r="I311" s="7">
        <f>IF(AND(G311="",H311=""),"",Paramètres!$B$5+SUM(G$5:G311)-SUM(H$5:H311))</f>
        <v/>
      </c>
      <c r="J311" s="12">
        <f>IF(A311="","",MONTH(A311))</f>
        <v/>
      </c>
    </row>
    <row r="312">
      <c r="A312" s="18" t="n"/>
      <c r="B312" s="15" t="n"/>
      <c r="C312" s="15" t="n"/>
      <c r="D312" s="15" t="n"/>
      <c r="E312" s="15" t="n"/>
      <c r="F312" s="15" t="n"/>
      <c r="G312" s="17" t="n"/>
      <c r="H312" s="17" t="n"/>
      <c r="I312" s="7">
        <f>IF(AND(G312="",H312=""),"",Paramètres!$B$5+SUM(G$5:G312)-SUM(H$5:H312))</f>
        <v/>
      </c>
      <c r="J312" s="12">
        <f>IF(A312="","",MONTH(A312))</f>
        <v/>
      </c>
    </row>
    <row r="313">
      <c r="A313" s="18" t="n"/>
      <c r="B313" s="15" t="n"/>
      <c r="C313" s="15" t="n"/>
      <c r="D313" s="15" t="n"/>
      <c r="E313" s="15" t="n"/>
      <c r="F313" s="15" t="n"/>
      <c r="G313" s="17" t="n"/>
      <c r="H313" s="17" t="n"/>
      <c r="I313" s="7">
        <f>IF(AND(G313="",H313=""),"",Paramètres!$B$5+SUM(G$5:G313)-SUM(H$5:H313))</f>
        <v/>
      </c>
      <c r="J313" s="12">
        <f>IF(A313="","",MONTH(A313))</f>
        <v/>
      </c>
    </row>
    <row r="314">
      <c r="A314" s="18" t="n"/>
      <c r="B314" s="15" t="n"/>
      <c r="C314" s="15" t="n"/>
      <c r="D314" s="15" t="n"/>
      <c r="E314" s="15" t="n"/>
      <c r="F314" s="15" t="n"/>
      <c r="G314" s="17" t="n"/>
      <c r="H314" s="17" t="n"/>
      <c r="I314" s="7">
        <f>IF(AND(G314="",H314=""),"",Paramètres!$B$5+SUM(G$5:G314)-SUM(H$5:H314))</f>
        <v/>
      </c>
      <c r="J314" s="12">
        <f>IF(A314="","",MONTH(A314))</f>
        <v/>
      </c>
    </row>
    <row r="315">
      <c r="A315" s="18" t="n"/>
      <c r="B315" s="15" t="n"/>
      <c r="C315" s="15" t="n"/>
      <c r="D315" s="15" t="n"/>
      <c r="E315" s="15" t="n"/>
      <c r="F315" s="15" t="n"/>
      <c r="G315" s="17" t="n"/>
      <c r="H315" s="17" t="n"/>
      <c r="I315" s="7">
        <f>IF(AND(G315="",H315=""),"",Paramètres!$B$5+SUM(G$5:G315)-SUM(H$5:H315))</f>
        <v/>
      </c>
      <c r="J315" s="12">
        <f>IF(A315="","",MONTH(A315))</f>
        <v/>
      </c>
    </row>
    <row r="316">
      <c r="A316" s="18" t="n"/>
      <c r="B316" s="15" t="n"/>
      <c r="C316" s="15" t="n"/>
      <c r="D316" s="15" t="n"/>
      <c r="E316" s="15" t="n"/>
      <c r="F316" s="15" t="n"/>
      <c r="G316" s="17" t="n"/>
      <c r="H316" s="17" t="n"/>
      <c r="I316" s="7">
        <f>IF(AND(G316="",H316=""),"",Paramètres!$B$5+SUM(G$5:G316)-SUM(H$5:H316))</f>
        <v/>
      </c>
      <c r="J316" s="12">
        <f>IF(A316="","",MONTH(A316))</f>
        <v/>
      </c>
    </row>
    <row r="317">
      <c r="A317" s="18" t="n"/>
      <c r="B317" s="15" t="n"/>
      <c r="C317" s="15" t="n"/>
      <c r="D317" s="15" t="n"/>
      <c r="E317" s="15" t="n"/>
      <c r="F317" s="15" t="n"/>
      <c r="G317" s="17" t="n"/>
      <c r="H317" s="17" t="n"/>
      <c r="I317" s="7">
        <f>IF(AND(G317="",H317=""),"",Paramètres!$B$5+SUM(G$5:G317)-SUM(H$5:H317))</f>
        <v/>
      </c>
      <c r="J317" s="12">
        <f>IF(A317="","",MONTH(A317))</f>
        <v/>
      </c>
    </row>
    <row r="318">
      <c r="A318" s="18" t="n"/>
      <c r="B318" s="15" t="n"/>
      <c r="C318" s="15" t="n"/>
      <c r="D318" s="15" t="n"/>
      <c r="E318" s="15" t="n"/>
      <c r="F318" s="15" t="n"/>
      <c r="G318" s="17" t="n"/>
      <c r="H318" s="17" t="n"/>
      <c r="I318" s="7">
        <f>IF(AND(G318="",H318=""),"",Paramètres!$B$5+SUM(G$5:G318)-SUM(H$5:H318))</f>
        <v/>
      </c>
      <c r="J318" s="12">
        <f>IF(A318="","",MONTH(A318))</f>
        <v/>
      </c>
    </row>
    <row r="319">
      <c r="A319" s="18" t="n"/>
      <c r="B319" s="15" t="n"/>
      <c r="C319" s="15" t="n"/>
      <c r="D319" s="15" t="n"/>
      <c r="E319" s="15" t="n"/>
      <c r="F319" s="15" t="n"/>
      <c r="G319" s="17" t="n"/>
      <c r="H319" s="17" t="n"/>
      <c r="I319" s="7">
        <f>IF(AND(G319="",H319=""),"",Paramètres!$B$5+SUM(G$5:G319)-SUM(H$5:H319))</f>
        <v/>
      </c>
      <c r="J319" s="12">
        <f>IF(A319="","",MONTH(A319))</f>
        <v/>
      </c>
    </row>
    <row r="320">
      <c r="A320" s="18" t="n"/>
      <c r="B320" s="15" t="n"/>
      <c r="C320" s="15" t="n"/>
      <c r="D320" s="15" t="n"/>
      <c r="E320" s="15" t="n"/>
      <c r="F320" s="15" t="n"/>
      <c r="G320" s="17" t="n"/>
      <c r="H320" s="17" t="n"/>
      <c r="I320" s="7">
        <f>IF(AND(G320="",H320=""),"",Paramètres!$B$5+SUM(G$5:G320)-SUM(H$5:H320))</f>
        <v/>
      </c>
      <c r="J320" s="12">
        <f>IF(A320="","",MONTH(A320))</f>
        <v/>
      </c>
    </row>
    <row r="321">
      <c r="A321" s="18" t="n"/>
      <c r="B321" s="15" t="n"/>
      <c r="C321" s="15" t="n"/>
      <c r="D321" s="15" t="n"/>
      <c r="E321" s="15" t="n"/>
      <c r="F321" s="15" t="n"/>
      <c r="G321" s="17" t="n"/>
      <c r="H321" s="17" t="n"/>
      <c r="I321" s="7">
        <f>IF(AND(G321="",H321=""),"",Paramètres!$B$5+SUM(G$5:G321)-SUM(H$5:H321))</f>
        <v/>
      </c>
      <c r="J321" s="12">
        <f>IF(A321="","",MONTH(A321))</f>
        <v/>
      </c>
    </row>
    <row r="322">
      <c r="A322" s="18" t="n"/>
      <c r="B322" s="15" t="n"/>
      <c r="C322" s="15" t="n"/>
      <c r="D322" s="15" t="n"/>
      <c r="E322" s="15" t="n"/>
      <c r="F322" s="15" t="n"/>
      <c r="G322" s="17" t="n"/>
      <c r="H322" s="17" t="n"/>
      <c r="I322" s="7">
        <f>IF(AND(G322="",H322=""),"",Paramètres!$B$5+SUM(G$5:G322)-SUM(H$5:H322))</f>
        <v/>
      </c>
      <c r="J322" s="12">
        <f>IF(A322="","",MONTH(A322))</f>
        <v/>
      </c>
    </row>
    <row r="323">
      <c r="A323" s="18" t="n"/>
      <c r="B323" s="15" t="n"/>
      <c r="C323" s="15" t="n"/>
      <c r="D323" s="15" t="n"/>
      <c r="E323" s="15" t="n"/>
      <c r="F323" s="15" t="n"/>
      <c r="G323" s="17" t="n"/>
      <c r="H323" s="17" t="n"/>
      <c r="I323" s="7">
        <f>IF(AND(G323="",H323=""),"",Paramètres!$B$5+SUM(G$5:G323)-SUM(H$5:H323))</f>
        <v/>
      </c>
      <c r="J323" s="12">
        <f>IF(A323="","",MONTH(A323))</f>
        <v/>
      </c>
    </row>
    <row r="324">
      <c r="A324" s="18" t="n"/>
      <c r="B324" s="15" t="n"/>
      <c r="C324" s="15" t="n"/>
      <c r="D324" s="15" t="n"/>
      <c r="E324" s="15" t="n"/>
      <c r="F324" s="15" t="n"/>
      <c r="G324" s="17" t="n"/>
      <c r="H324" s="17" t="n"/>
      <c r="I324" s="7">
        <f>IF(AND(G324="",H324=""),"",Paramètres!$B$5+SUM(G$5:G324)-SUM(H$5:H324))</f>
        <v/>
      </c>
      <c r="J324" s="12">
        <f>IF(A324="","",MONTH(A324))</f>
        <v/>
      </c>
    </row>
    <row r="325">
      <c r="A325" s="18" t="n"/>
      <c r="B325" s="15" t="n"/>
      <c r="C325" s="15" t="n"/>
      <c r="D325" s="15" t="n"/>
      <c r="E325" s="15" t="n"/>
      <c r="F325" s="15" t="n"/>
      <c r="G325" s="17" t="n"/>
      <c r="H325" s="17" t="n"/>
      <c r="I325" s="7">
        <f>IF(AND(G325="",H325=""),"",Paramètres!$B$5+SUM(G$5:G325)-SUM(H$5:H325))</f>
        <v/>
      </c>
      <c r="J325" s="12">
        <f>IF(A325="","",MONTH(A325))</f>
        <v/>
      </c>
    </row>
    <row r="326">
      <c r="A326" s="18" t="n"/>
      <c r="B326" s="15" t="n"/>
      <c r="C326" s="15" t="n"/>
      <c r="D326" s="15" t="n"/>
      <c r="E326" s="15" t="n"/>
      <c r="F326" s="15" t="n"/>
      <c r="G326" s="17" t="n"/>
      <c r="H326" s="17" t="n"/>
      <c r="I326" s="7">
        <f>IF(AND(G326="",H326=""),"",Paramètres!$B$5+SUM(G$5:G326)-SUM(H$5:H326))</f>
        <v/>
      </c>
      <c r="J326" s="12">
        <f>IF(A326="","",MONTH(A326))</f>
        <v/>
      </c>
    </row>
    <row r="327">
      <c r="A327" s="18" t="n"/>
      <c r="B327" s="15" t="n"/>
      <c r="C327" s="15" t="n"/>
      <c r="D327" s="15" t="n"/>
      <c r="E327" s="15" t="n"/>
      <c r="F327" s="15" t="n"/>
      <c r="G327" s="17" t="n"/>
      <c r="H327" s="17" t="n"/>
      <c r="I327" s="7">
        <f>IF(AND(G327="",H327=""),"",Paramètres!$B$5+SUM(G$5:G327)-SUM(H$5:H327))</f>
        <v/>
      </c>
      <c r="J327" s="12">
        <f>IF(A327="","",MONTH(A327))</f>
        <v/>
      </c>
    </row>
    <row r="328">
      <c r="A328" s="18" t="n"/>
      <c r="B328" s="15" t="n"/>
      <c r="C328" s="15" t="n"/>
      <c r="D328" s="15" t="n"/>
      <c r="E328" s="15" t="n"/>
      <c r="F328" s="15" t="n"/>
      <c r="G328" s="17" t="n"/>
      <c r="H328" s="17" t="n"/>
      <c r="I328" s="7">
        <f>IF(AND(G328="",H328=""),"",Paramètres!$B$5+SUM(G$5:G328)-SUM(H$5:H328))</f>
        <v/>
      </c>
      <c r="J328" s="12">
        <f>IF(A328="","",MONTH(A328))</f>
        <v/>
      </c>
    </row>
    <row r="329">
      <c r="A329" s="18" t="n"/>
      <c r="B329" s="15" t="n"/>
      <c r="C329" s="15" t="n"/>
      <c r="D329" s="15" t="n"/>
      <c r="E329" s="15" t="n"/>
      <c r="F329" s="15" t="n"/>
      <c r="G329" s="17" t="n"/>
      <c r="H329" s="17" t="n"/>
      <c r="I329" s="7">
        <f>IF(AND(G329="",H329=""),"",Paramètres!$B$5+SUM(G$5:G329)-SUM(H$5:H329))</f>
        <v/>
      </c>
      <c r="J329" s="12">
        <f>IF(A329="","",MONTH(A329))</f>
        <v/>
      </c>
    </row>
    <row r="330">
      <c r="A330" s="18" t="n"/>
      <c r="B330" s="15" t="n"/>
      <c r="C330" s="15" t="n"/>
      <c r="D330" s="15" t="n"/>
      <c r="E330" s="15" t="n"/>
      <c r="F330" s="15" t="n"/>
      <c r="G330" s="17" t="n"/>
      <c r="H330" s="17" t="n"/>
      <c r="I330" s="7">
        <f>IF(AND(G330="",H330=""),"",Paramètres!$B$5+SUM(G$5:G330)-SUM(H$5:H330))</f>
        <v/>
      </c>
      <c r="J330" s="12">
        <f>IF(A330="","",MONTH(A330))</f>
        <v/>
      </c>
    </row>
    <row r="331">
      <c r="A331" s="18" t="n"/>
      <c r="B331" s="15" t="n"/>
      <c r="C331" s="15" t="n"/>
      <c r="D331" s="15" t="n"/>
      <c r="E331" s="15" t="n"/>
      <c r="F331" s="15" t="n"/>
      <c r="G331" s="17" t="n"/>
      <c r="H331" s="17" t="n"/>
      <c r="I331" s="7">
        <f>IF(AND(G331="",H331=""),"",Paramètres!$B$5+SUM(G$5:G331)-SUM(H$5:H331))</f>
        <v/>
      </c>
      <c r="J331" s="12">
        <f>IF(A331="","",MONTH(A331))</f>
        <v/>
      </c>
    </row>
    <row r="332">
      <c r="A332" s="18" t="n"/>
      <c r="B332" s="15" t="n"/>
      <c r="C332" s="15" t="n"/>
      <c r="D332" s="15" t="n"/>
      <c r="E332" s="15" t="n"/>
      <c r="F332" s="15" t="n"/>
      <c r="G332" s="17" t="n"/>
      <c r="H332" s="17" t="n"/>
      <c r="I332" s="7">
        <f>IF(AND(G332="",H332=""),"",Paramètres!$B$5+SUM(G$5:G332)-SUM(H$5:H332))</f>
        <v/>
      </c>
      <c r="J332" s="12">
        <f>IF(A332="","",MONTH(A332))</f>
        <v/>
      </c>
    </row>
    <row r="333">
      <c r="A333" s="18" t="n"/>
      <c r="B333" s="15" t="n"/>
      <c r="C333" s="15" t="n"/>
      <c r="D333" s="15" t="n"/>
      <c r="E333" s="15" t="n"/>
      <c r="F333" s="15" t="n"/>
      <c r="G333" s="17" t="n"/>
      <c r="H333" s="17" t="n"/>
      <c r="I333" s="7">
        <f>IF(AND(G333="",H333=""),"",Paramètres!$B$5+SUM(G$5:G333)-SUM(H$5:H333))</f>
        <v/>
      </c>
      <c r="J333" s="12">
        <f>IF(A333="","",MONTH(A333))</f>
        <v/>
      </c>
    </row>
    <row r="334">
      <c r="A334" s="18" t="n"/>
      <c r="B334" s="15" t="n"/>
      <c r="C334" s="15" t="n"/>
      <c r="D334" s="15" t="n"/>
      <c r="E334" s="15" t="n"/>
      <c r="F334" s="15" t="n"/>
      <c r="G334" s="17" t="n"/>
      <c r="H334" s="17" t="n"/>
      <c r="I334" s="7">
        <f>IF(AND(G334="",H334=""),"",Paramètres!$B$5+SUM(G$5:G334)-SUM(H$5:H334))</f>
        <v/>
      </c>
      <c r="J334" s="12">
        <f>IF(A334="","",MONTH(A334))</f>
        <v/>
      </c>
    </row>
    <row r="335">
      <c r="A335" s="18" t="n"/>
      <c r="B335" s="15" t="n"/>
      <c r="C335" s="15" t="n"/>
      <c r="D335" s="15" t="n"/>
      <c r="E335" s="15" t="n"/>
      <c r="F335" s="15" t="n"/>
      <c r="G335" s="17" t="n"/>
      <c r="H335" s="17" t="n"/>
      <c r="I335" s="7">
        <f>IF(AND(G335="",H335=""),"",Paramètres!$B$5+SUM(G$5:G335)-SUM(H$5:H335))</f>
        <v/>
      </c>
      <c r="J335" s="12">
        <f>IF(A335="","",MONTH(A335))</f>
        <v/>
      </c>
    </row>
    <row r="336">
      <c r="A336" s="18" t="n"/>
      <c r="B336" s="15" t="n"/>
      <c r="C336" s="15" t="n"/>
      <c r="D336" s="15" t="n"/>
      <c r="E336" s="15" t="n"/>
      <c r="F336" s="15" t="n"/>
      <c r="G336" s="17" t="n"/>
      <c r="H336" s="17" t="n"/>
      <c r="I336" s="7">
        <f>IF(AND(G336="",H336=""),"",Paramètres!$B$5+SUM(G$5:G336)-SUM(H$5:H336))</f>
        <v/>
      </c>
      <c r="J336" s="12">
        <f>IF(A336="","",MONTH(A336))</f>
        <v/>
      </c>
    </row>
    <row r="337">
      <c r="A337" s="18" t="n"/>
      <c r="B337" s="15" t="n"/>
      <c r="C337" s="15" t="n"/>
      <c r="D337" s="15" t="n"/>
      <c r="E337" s="15" t="n"/>
      <c r="F337" s="15" t="n"/>
      <c r="G337" s="17" t="n"/>
      <c r="H337" s="17" t="n"/>
      <c r="I337" s="7">
        <f>IF(AND(G337="",H337=""),"",Paramètres!$B$5+SUM(G$5:G337)-SUM(H$5:H337))</f>
        <v/>
      </c>
      <c r="J337" s="12">
        <f>IF(A337="","",MONTH(A337))</f>
        <v/>
      </c>
    </row>
    <row r="338">
      <c r="A338" s="18" t="n"/>
      <c r="B338" s="15" t="n"/>
      <c r="C338" s="15" t="n"/>
      <c r="D338" s="15" t="n"/>
      <c r="E338" s="15" t="n"/>
      <c r="F338" s="15" t="n"/>
      <c r="G338" s="17" t="n"/>
      <c r="H338" s="17" t="n"/>
      <c r="I338" s="7">
        <f>IF(AND(G338="",H338=""),"",Paramètres!$B$5+SUM(G$5:G338)-SUM(H$5:H338))</f>
        <v/>
      </c>
      <c r="J338" s="12">
        <f>IF(A338="","",MONTH(A338))</f>
        <v/>
      </c>
    </row>
    <row r="339">
      <c r="A339" s="18" t="n"/>
      <c r="B339" s="15" t="n"/>
      <c r="C339" s="15" t="n"/>
      <c r="D339" s="15" t="n"/>
      <c r="E339" s="15" t="n"/>
      <c r="F339" s="15" t="n"/>
      <c r="G339" s="17" t="n"/>
      <c r="H339" s="17" t="n"/>
      <c r="I339" s="7">
        <f>IF(AND(G339="",H339=""),"",Paramètres!$B$5+SUM(G$5:G339)-SUM(H$5:H339))</f>
        <v/>
      </c>
      <c r="J339" s="12">
        <f>IF(A339="","",MONTH(A339))</f>
        <v/>
      </c>
    </row>
    <row r="340">
      <c r="A340" s="18" t="n"/>
      <c r="B340" s="15" t="n"/>
      <c r="C340" s="15" t="n"/>
      <c r="D340" s="15" t="n"/>
      <c r="E340" s="15" t="n"/>
      <c r="F340" s="15" t="n"/>
      <c r="G340" s="17" t="n"/>
      <c r="H340" s="17" t="n"/>
      <c r="I340" s="7">
        <f>IF(AND(G340="",H340=""),"",Paramètres!$B$5+SUM(G$5:G340)-SUM(H$5:H340))</f>
        <v/>
      </c>
      <c r="J340" s="12">
        <f>IF(A340="","",MONTH(A340))</f>
        <v/>
      </c>
    </row>
    <row r="341">
      <c r="A341" s="18" t="n"/>
      <c r="B341" s="15" t="n"/>
      <c r="C341" s="15" t="n"/>
      <c r="D341" s="15" t="n"/>
      <c r="E341" s="15" t="n"/>
      <c r="F341" s="15" t="n"/>
      <c r="G341" s="17" t="n"/>
      <c r="H341" s="17" t="n"/>
      <c r="I341" s="7">
        <f>IF(AND(G341="",H341=""),"",Paramètres!$B$5+SUM(G$5:G341)-SUM(H$5:H341))</f>
        <v/>
      </c>
      <c r="J341" s="12">
        <f>IF(A341="","",MONTH(A341))</f>
        <v/>
      </c>
    </row>
    <row r="342">
      <c r="A342" s="18" t="n"/>
      <c r="B342" s="15" t="n"/>
      <c r="C342" s="15" t="n"/>
      <c r="D342" s="15" t="n"/>
      <c r="E342" s="15" t="n"/>
      <c r="F342" s="15" t="n"/>
      <c r="G342" s="17" t="n"/>
      <c r="H342" s="17" t="n"/>
      <c r="I342" s="7">
        <f>IF(AND(G342="",H342=""),"",Paramètres!$B$5+SUM(G$5:G342)-SUM(H$5:H342))</f>
        <v/>
      </c>
      <c r="J342" s="12">
        <f>IF(A342="","",MONTH(A342))</f>
        <v/>
      </c>
    </row>
    <row r="343">
      <c r="A343" s="18" t="n"/>
      <c r="B343" s="15" t="n"/>
      <c r="C343" s="15" t="n"/>
      <c r="D343" s="15" t="n"/>
      <c r="E343" s="15" t="n"/>
      <c r="F343" s="15" t="n"/>
      <c r="G343" s="17" t="n"/>
      <c r="H343" s="17" t="n"/>
      <c r="I343" s="7">
        <f>IF(AND(G343="",H343=""),"",Paramètres!$B$5+SUM(G$5:G343)-SUM(H$5:H343))</f>
        <v/>
      </c>
      <c r="J343" s="12">
        <f>IF(A343="","",MONTH(A343))</f>
        <v/>
      </c>
    </row>
    <row r="344">
      <c r="A344" s="18" t="n"/>
      <c r="B344" s="15" t="n"/>
      <c r="C344" s="15" t="n"/>
      <c r="D344" s="15" t="n"/>
      <c r="E344" s="15" t="n"/>
      <c r="F344" s="15" t="n"/>
      <c r="G344" s="17" t="n"/>
      <c r="H344" s="17" t="n"/>
      <c r="I344" s="7">
        <f>IF(AND(G344="",H344=""),"",Paramètres!$B$5+SUM(G$5:G344)-SUM(H$5:H344))</f>
        <v/>
      </c>
      <c r="J344" s="12">
        <f>IF(A344="","",MONTH(A344))</f>
        <v/>
      </c>
    </row>
    <row r="345">
      <c r="A345" s="18" t="n"/>
      <c r="B345" s="15" t="n"/>
      <c r="C345" s="15" t="n"/>
      <c r="D345" s="15" t="n"/>
      <c r="E345" s="15" t="n"/>
      <c r="F345" s="15" t="n"/>
      <c r="G345" s="17" t="n"/>
      <c r="H345" s="17" t="n"/>
      <c r="I345" s="7">
        <f>IF(AND(G345="",H345=""),"",Paramètres!$B$5+SUM(G$5:G345)-SUM(H$5:H345))</f>
        <v/>
      </c>
      <c r="J345" s="12">
        <f>IF(A345="","",MONTH(A345))</f>
        <v/>
      </c>
    </row>
    <row r="346">
      <c r="A346" s="18" t="n"/>
      <c r="B346" s="15" t="n"/>
      <c r="C346" s="15" t="n"/>
      <c r="D346" s="15" t="n"/>
      <c r="E346" s="15" t="n"/>
      <c r="F346" s="15" t="n"/>
      <c r="G346" s="17" t="n"/>
      <c r="H346" s="17" t="n"/>
      <c r="I346" s="7">
        <f>IF(AND(G346="",H346=""),"",Paramètres!$B$5+SUM(G$5:G346)-SUM(H$5:H346))</f>
        <v/>
      </c>
      <c r="J346" s="12">
        <f>IF(A346="","",MONTH(A346))</f>
        <v/>
      </c>
    </row>
    <row r="347">
      <c r="A347" s="18" t="n"/>
      <c r="B347" s="15" t="n"/>
      <c r="C347" s="15" t="n"/>
      <c r="D347" s="15" t="n"/>
      <c r="E347" s="15" t="n"/>
      <c r="F347" s="15" t="n"/>
      <c r="G347" s="17" t="n"/>
      <c r="H347" s="17" t="n"/>
      <c r="I347" s="7">
        <f>IF(AND(G347="",H347=""),"",Paramètres!$B$5+SUM(G$5:G347)-SUM(H$5:H347))</f>
        <v/>
      </c>
      <c r="J347" s="12">
        <f>IF(A347="","",MONTH(A347))</f>
        <v/>
      </c>
    </row>
    <row r="348">
      <c r="A348" s="18" t="n"/>
      <c r="B348" s="15" t="n"/>
      <c r="C348" s="15" t="n"/>
      <c r="D348" s="15" t="n"/>
      <c r="E348" s="15" t="n"/>
      <c r="F348" s="15" t="n"/>
      <c r="G348" s="17" t="n"/>
      <c r="H348" s="17" t="n"/>
      <c r="I348" s="7">
        <f>IF(AND(G348="",H348=""),"",Paramètres!$B$5+SUM(G$5:G348)-SUM(H$5:H348))</f>
        <v/>
      </c>
      <c r="J348" s="12">
        <f>IF(A348="","",MONTH(A348))</f>
        <v/>
      </c>
    </row>
    <row r="349">
      <c r="A349" s="18" t="n"/>
      <c r="B349" s="15" t="n"/>
      <c r="C349" s="15" t="n"/>
      <c r="D349" s="15" t="n"/>
      <c r="E349" s="15" t="n"/>
      <c r="F349" s="15" t="n"/>
      <c r="G349" s="17" t="n"/>
      <c r="H349" s="17" t="n"/>
      <c r="I349" s="7">
        <f>IF(AND(G349="",H349=""),"",Paramètres!$B$5+SUM(G$5:G349)-SUM(H$5:H349))</f>
        <v/>
      </c>
      <c r="J349" s="12">
        <f>IF(A349="","",MONTH(A349))</f>
        <v/>
      </c>
    </row>
    <row r="350">
      <c r="A350" s="18" t="n"/>
      <c r="B350" s="15" t="n"/>
      <c r="C350" s="15" t="n"/>
      <c r="D350" s="15" t="n"/>
      <c r="E350" s="15" t="n"/>
      <c r="F350" s="15" t="n"/>
      <c r="G350" s="17" t="n"/>
      <c r="H350" s="17" t="n"/>
      <c r="I350" s="7">
        <f>IF(AND(G350="",H350=""),"",Paramètres!$B$5+SUM(G$5:G350)-SUM(H$5:H350))</f>
        <v/>
      </c>
      <c r="J350" s="12">
        <f>IF(A350="","",MONTH(A350))</f>
        <v/>
      </c>
    </row>
    <row r="351">
      <c r="A351" s="18" t="n"/>
      <c r="B351" s="15" t="n"/>
      <c r="C351" s="15" t="n"/>
      <c r="D351" s="15" t="n"/>
      <c r="E351" s="15" t="n"/>
      <c r="F351" s="15" t="n"/>
      <c r="G351" s="17" t="n"/>
      <c r="H351" s="17" t="n"/>
      <c r="I351" s="7">
        <f>IF(AND(G351="",H351=""),"",Paramètres!$B$5+SUM(G$5:G351)-SUM(H$5:H351))</f>
        <v/>
      </c>
      <c r="J351" s="12">
        <f>IF(A351="","",MONTH(A351))</f>
        <v/>
      </c>
    </row>
    <row r="352">
      <c r="A352" s="18" t="n"/>
      <c r="B352" s="15" t="n"/>
      <c r="C352" s="15" t="n"/>
      <c r="D352" s="15" t="n"/>
      <c r="E352" s="15" t="n"/>
      <c r="F352" s="15" t="n"/>
      <c r="G352" s="17" t="n"/>
      <c r="H352" s="17" t="n"/>
      <c r="I352" s="7">
        <f>IF(AND(G352="",H352=""),"",Paramètres!$B$5+SUM(G$5:G352)-SUM(H$5:H352))</f>
        <v/>
      </c>
      <c r="J352" s="12">
        <f>IF(A352="","",MONTH(A352))</f>
        <v/>
      </c>
    </row>
    <row r="353">
      <c r="A353" s="18" t="n"/>
      <c r="B353" s="15" t="n"/>
      <c r="C353" s="15" t="n"/>
      <c r="D353" s="15" t="n"/>
      <c r="E353" s="15" t="n"/>
      <c r="F353" s="15" t="n"/>
      <c r="G353" s="17" t="n"/>
      <c r="H353" s="17" t="n"/>
      <c r="I353" s="7">
        <f>IF(AND(G353="",H353=""),"",Paramètres!$B$5+SUM(G$5:G353)-SUM(H$5:H353))</f>
        <v/>
      </c>
      <c r="J353" s="12">
        <f>IF(A353="","",MONTH(A353))</f>
        <v/>
      </c>
    </row>
    <row r="354">
      <c r="A354" s="18" t="n"/>
      <c r="B354" s="15" t="n"/>
      <c r="C354" s="15" t="n"/>
      <c r="D354" s="15" t="n"/>
      <c r="E354" s="15" t="n"/>
      <c r="F354" s="15" t="n"/>
      <c r="G354" s="17" t="n"/>
      <c r="H354" s="17" t="n"/>
      <c r="I354" s="7">
        <f>IF(AND(G354="",H354=""),"",Paramètres!$B$5+SUM(G$5:G354)-SUM(H$5:H354))</f>
        <v/>
      </c>
      <c r="J354" s="12">
        <f>IF(A354="","",MONTH(A354))</f>
        <v/>
      </c>
    </row>
    <row r="355">
      <c r="A355" s="18" t="n"/>
      <c r="B355" s="15" t="n"/>
      <c r="C355" s="15" t="n"/>
      <c r="D355" s="15" t="n"/>
      <c r="E355" s="15" t="n"/>
      <c r="F355" s="15" t="n"/>
      <c r="G355" s="17" t="n"/>
      <c r="H355" s="17" t="n"/>
      <c r="I355" s="7">
        <f>IF(AND(G355="",H355=""),"",Paramètres!$B$5+SUM(G$5:G355)-SUM(H$5:H355))</f>
        <v/>
      </c>
      <c r="J355" s="12">
        <f>IF(A355="","",MONTH(A355))</f>
        <v/>
      </c>
    </row>
    <row r="356">
      <c r="A356" s="18" t="n"/>
      <c r="B356" s="15" t="n"/>
      <c r="C356" s="15" t="n"/>
      <c r="D356" s="15" t="n"/>
      <c r="E356" s="15" t="n"/>
      <c r="F356" s="15" t="n"/>
      <c r="G356" s="17" t="n"/>
      <c r="H356" s="17" t="n"/>
      <c r="I356" s="7">
        <f>IF(AND(G356="",H356=""),"",Paramètres!$B$5+SUM(G$5:G356)-SUM(H$5:H356))</f>
        <v/>
      </c>
      <c r="J356" s="12">
        <f>IF(A356="","",MONTH(A356))</f>
        <v/>
      </c>
    </row>
    <row r="357">
      <c r="A357" s="18" t="n"/>
      <c r="B357" s="15" t="n"/>
      <c r="C357" s="15" t="n"/>
      <c r="D357" s="15" t="n"/>
      <c r="E357" s="15" t="n"/>
      <c r="F357" s="15" t="n"/>
      <c r="G357" s="17" t="n"/>
      <c r="H357" s="17" t="n"/>
      <c r="I357" s="7">
        <f>IF(AND(G357="",H357=""),"",Paramètres!$B$5+SUM(G$5:G357)-SUM(H$5:H357))</f>
        <v/>
      </c>
      <c r="J357" s="12">
        <f>IF(A357="","",MONTH(A357))</f>
        <v/>
      </c>
    </row>
    <row r="358">
      <c r="A358" s="18" t="n"/>
      <c r="B358" s="15" t="n"/>
      <c r="C358" s="15" t="n"/>
      <c r="D358" s="15" t="n"/>
      <c r="E358" s="15" t="n"/>
      <c r="F358" s="15" t="n"/>
      <c r="G358" s="17" t="n"/>
      <c r="H358" s="17" t="n"/>
      <c r="I358" s="7">
        <f>IF(AND(G358="",H358=""),"",Paramètres!$B$5+SUM(G$5:G358)-SUM(H$5:H358))</f>
        <v/>
      </c>
      <c r="J358" s="12">
        <f>IF(A358="","",MONTH(A358))</f>
        <v/>
      </c>
    </row>
    <row r="359">
      <c r="A359" s="18" t="n"/>
      <c r="B359" s="15" t="n"/>
      <c r="C359" s="15" t="n"/>
      <c r="D359" s="15" t="n"/>
      <c r="E359" s="15" t="n"/>
      <c r="F359" s="15" t="n"/>
      <c r="G359" s="17" t="n"/>
      <c r="H359" s="17" t="n"/>
      <c r="I359" s="7">
        <f>IF(AND(G359="",H359=""),"",Paramètres!$B$5+SUM(G$5:G359)-SUM(H$5:H359))</f>
        <v/>
      </c>
      <c r="J359" s="12">
        <f>IF(A359="","",MONTH(A359))</f>
        <v/>
      </c>
    </row>
    <row r="360">
      <c r="A360" s="18" t="n"/>
      <c r="B360" s="15" t="n"/>
      <c r="C360" s="15" t="n"/>
      <c r="D360" s="15" t="n"/>
      <c r="E360" s="15" t="n"/>
      <c r="F360" s="15" t="n"/>
      <c r="G360" s="17" t="n"/>
      <c r="H360" s="17" t="n"/>
      <c r="I360" s="7">
        <f>IF(AND(G360="",H360=""),"",Paramètres!$B$5+SUM(G$5:G360)-SUM(H$5:H360))</f>
        <v/>
      </c>
      <c r="J360" s="12">
        <f>IF(A360="","",MONTH(A360))</f>
        <v/>
      </c>
    </row>
    <row r="361">
      <c r="A361" s="18" t="n"/>
      <c r="B361" s="15" t="n"/>
      <c r="C361" s="15" t="n"/>
      <c r="D361" s="15" t="n"/>
      <c r="E361" s="15" t="n"/>
      <c r="F361" s="15" t="n"/>
      <c r="G361" s="17" t="n"/>
      <c r="H361" s="17" t="n"/>
      <c r="I361" s="7">
        <f>IF(AND(G361="",H361=""),"",Paramètres!$B$5+SUM(G$5:G361)-SUM(H$5:H361))</f>
        <v/>
      </c>
      <c r="J361" s="12">
        <f>IF(A361="","",MONTH(A361))</f>
        <v/>
      </c>
    </row>
    <row r="362">
      <c r="A362" s="18" t="n"/>
      <c r="B362" s="15" t="n"/>
      <c r="C362" s="15" t="n"/>
      <c r="D362" s="15" t="n"/>
      <c r="E362" s="15" t="n"/>
      <c r="F362" s="15" t="n"/>
      <c r="G362" s="17" t="n"/>
      <c r="H362" s="17" t="n"/>
      <c r="I362" s="7">
        <f>IF(AND(G362="",H362=""),"",Paramètres!$B$5+SUM(G$5:G362)-SUM(H$5:H362))</f>
        <v/>
      </c>
      <c r="J362" s="12">
        <f>IF(A362="","",MONTH(A362))</f>
        <v/>
      </c>
    </row>
    <row r="363">
      <c r="A363" s="18" t="n"/>
      <c r="B363" s="15" t="n"/>
      <c r="C363" s="15" t="n"/>
      <c r="D363" s="15" t="n"/>
      <c r="E363" s="15" t="n"/>
      <c r="F363" s="15" t="n"/>
      <c r="G363" s="17" t="n"/>
      <c r="H363" s="17" t="n"/>
      <c r="I363" s="7">
        <f>IF(AND(G363="",H363=""),"",Paramètres!$B$5+SUM(G$5:G363)-SUM(H$5:H363))</f>
        <v/>
      </c>
      <c r="J363" s="12">
        <f>IF(A363="","",MONTH(A363))</f>
        <v/>
      </c>
    </row>
    <row r="364">
      <c r="A364" s="18" t="n"/>
      <c r="B364" s="15" t="n"/>
      <c r="C364" s="15" t="n"/>
      <c r="D364" s="15" t="n"/>
      <c r="E364" s="15" t="n"/>
      <c r="F364" s="15" t="n"/>
      <c r="G364" s="17" t="n"/>
      <c r="H364" s="17" t="n"/>
      <c r="I364" s="7">
        <f>IF(AND(G364="",H364=""),"",Paramètres!$B$5+SUM(G$5:G364)-SUM(H$5:H364))</f>
        <v/>
      </c>
      <c r="J364" s="12">
        <f>IF(A364="","",MONTH(A364))</f>
        <v/>
      </c>
    </row>
    <row r="365">
      <c r="A365" s="18" t="n"/>
      <c r="B365" s="15" t="n"/>
      <c r="C365" s="15" t="n"/>
      <c r="D365" s="15" t="n"/>
      <c r="E365" s="15" t="n"/>
      <c r="F365" s="15" t="n"/>
      <c r="G365" s="17" t="n"/>
      <c r="H365" s="17" t="n"/>
      <c r="I365" s="7">
        <f>IF(AND(G365="",H365=""),"",Paramètres!$B$5+SUM(G$5:G365)-SUM(H$5:H365))</f>
        <v/>
      </c>
      <c r="J365" s="12">
        <f>IF(A365="","",MONTH(A365))</f>
        <v/>
      </c>
    </row>
    <row r="366">
      <c r="A366" s="18" t="n"/>
      <c r="B366" s="15" t="n"/>
      <c r="C366" s="15" t="n"/>
      <c r="D366" s="15" t="n"/>
      <c r="E366" s="15" t="n"/>
      <c r="F366" s="15" t="n"/>
      <c r="G366" s="17" t="n"/>
      <c r="H366" s="17" t="n"/>
      <c r="I366" s="7">
        <f>IF(AND(G366="",H366=""),"",Paramètres!$B$5+SUM(G$5:G366)-SUM(H$5:H366))</f>
        <v/>
      </c>
      <c r="J366" s="12">
        <f>IF(A366="","",MONTH(A366))</f>
        <v/>
      </c>
    </row>
    <row r="367">
      <c r="A367" s="18" t="n"/>
      <c r="B367" s="15" t="n"/>
      <c r="C367" s="15" t="n"/>
      <c r="D367" s="15" t="n"/>
      <c r="E367" s="15" t="n"/>
      <c r="F367" s="15" t="n"/>
      <c r="G367" s="17" t="n"/>
      <c r="H367" s="17" t="n"/>
      <c r="I367" s="7">
        <f>IF(AND(G367="",H367=""),"",Paramètres!$B$5+SUM(G$5:G367)-SUM(H$5:H367))</f>
        <v/>
      </c>
      <c r="J367" s="12">
        <f>IF(A367="","",MONTH(A367))</f>
        <v/>
      </c>
    </row>
    <row r="368">
      <c r="A368" s="18" t="n"/>
      <c r="B368" s="15" t="n"/>
      <c r="C368" s="15" t="n"/>
      <c r="D368" s="15" t="n"/>
      <c r="E368" s="15" t="n"/>
      <c r="F368" s="15" t="n"/>
      <c r="G368" s="17" t="n"/>
      <c r="H368" s="17" t="n"/>
      <c r="I368" s="7">
        <f>IF(AND(G368="",H368=""),"",Paramètres!$B$5+SUM(G$5:G368)-SUM(H$5:H368))</f>
        <v/>
      </c>
      <c r="J368" s="12">
        <f>IF(A368="","",MONTH(A368))</f>
        <v/>
      </c>
    </row>
    <row r="369">
      <c r="A369" s="18" t="n"/>
      <c r="B369" s="15" t="n"/>
      <c r="C369" s="15" t="n"/>
      <c r="D369" s="15" t="n"/>
      <c r="E369" s="15" t="n"/>
      <c r="F369" s="15" t="n"/>
      <c r="G369" s="17" t="n"/>
      <c r="H369" s="17" t="n"/>
      <c r="I369" s="7">
        <f>IF(AND(G369="",H369=""),"",Paramètres!$B$5+SUM(G$5:G369)-SUM(H$5:H369))</f>
        <v/>
      </c>
      <c r="J369" s="12">
        <f>IF(A369="","",MONTH(A369))</f>
        <v/>
      </c>
    </row>
    <row r="370">
      <c r="A370" s="18" t="n"/>
      <c r="B370" s="15" t="n"/>
      <c r="C370" s="15" t="n"/>
      <c r="D370" s="15" t="n"/>
      <c r="E370" s="15" t="n"/>
      <c r="F370" s="15" t="n"/>
      <c r="G370" s="17" t="n"/>
      <c r="H370" s="17" t="n"/>
      <c r="I370" s="7">
        <f>IF(AND(G370="",H370=""),"",Paramètres!$B$5+SUM(G$5:G370)-SUM(H$5:H370))</f>
        <v/>
      </c>
      <c r="J370" s="12">
        <f>IF(A370="","",MONTH(A370))</f>
        <v/>
      </c>
    </row>
    <row r="371">
      <c r="A371" s="18" t="n"/>
      <c r="B371" s="15" t="n"/>
      <c r="C371" s="15" t="n"/>
      <c r="D371" s="15" t="n"/>
      <c r="E371" s="15" t="n"/>
      <c r="F371" s="15" t="n"/>
      <c r="G371" s="17" t="n"/>
      <c r="H371" s="17" t="n"/>
      <c r="I371" s="7">
        <f>IF(AND(G371="",H371=""),"",Paramètres!$B$5+SUM(G$5:G371)-SUM(H$5:H371))</f>
        <v/>
      </c>
      <c r="J371" s="12">
        <f>IF(A371="","",MONTH(A371))</f>
        <v/>
      </c>
    </row>
    <row r="372">
      <c r="A372" s="18" t="n"/>
      <c r="B372" s="15" t="n"/>
      <c r="C372" s="15" t="n"/>
      <c r="D372" s="15" t="n"/>
      <c r="E372" s="15" t="n"/>
      <c r="F372" s="15" t="n"/>
      <c r="G372" s="17" t="n"/>
      <c r="H372" s="17" t="n"/>
      <c r="I372" s="7">
        <f>IF(AND(G372="",H372=""),"",Paramètres!$B$5+SUM(G$5:G372)-SUM(H$5:H372))</f>
        <v/>
      </c>
      <c r="J372" s="12">
        <f>IF(A372="","",MONTH(A372))</f>
        <v/>
      </c>
    </row>
    <row r="373">
      <c r="A373" s="18" t="n"/>
      <c r="B373" s="15" t="n"/>
      <c r="C373" s="15" t="n"/>
      <c r="D373" s="15" t="n"/>
      <c r="E373" s="15" t="n"/>
      <c r="F373" s="15" t="n"/>
      <c r="G373" s="17" t="n"/>
      <c r="H373" s="17" t="n"/>
      <c r="I373" s="7">
        <f>IF(AND(G373="",H373=""),"",Paramètres!$B$5+SUM(G$5:G373)-SUM(H$5:H373))</f>
        <v/>
      </c>
      <c r="J373" s="12">
        <f>IF(A373="","",MONTH(A373))</f>
        <v/>
      </c>
    </row>
    <row r="374">
      <c r="A374" s="18" t="n"/>
      <c r="B374" s="15" t="n"/>
      <c r="C374" s="15" t="n"/>
      <c r="D374" s="15" t="n"/>
      <c r="E374" s="15" t="n"/>
      <c r="F374" s="15" t="n"/>
      <c r="G374" s="17" t="n"/>
      <c r="H374" s="17" t="n"/>
      <c r="I374" s="7">
        <f>IF(AND(G374="",H374=""),"",Paramètres!$B$5+SUM(G$5:G374)-SUM(H$5:H374))</f>
        <v/>
      </c>
      <c r="J374" s="12">
        <f>IF(A374="","",MONTH(A374))</f>
        <v/>
      </c>
    </row>
    <row r="375">
      <c r="A375" s="18" t="n"/>
      <c r="B375" s="15" t="n"/>
      <c r="C375" s="15" t="n"/>
      <c r="D375" s="15" t="n"/>
      <c r="E375" s="15" t="n"/>
      <c r="F375" s="15" t="n"/>
      <c r="G375" s="17" t="n"/>
      <c r="H375" s="17" t="n"/>
      <c r="I375" s="7">
        <f>IF(AND(G375="",H375=""),"",Paramètres!$B$5+SUM(G$5:G375)-SUM(H$5:H375))</f>
        <v/>
      </c>
      <c r="J375" s="12">
        <f>IF(A375="","",MONTH(A375))</f>
        <v/>
      </c>
    </row>
    <row r="376">
      <c r="A376" s="18" t="n"/>
      <c r="B376" s="15" t="n"/>
      <c r="C376" s="15" t="n"/>
      <c r="D376" s="15" t="n"/>
      <c r="E376" s="15" t="n"/>
      <c r="F376" s="15" t="n"/>
      <c r="G376" s="17" t="n"/>
      <c r="H376" s="17" t="n"/>
      <c r="I376" s="7">
        <f>IF(AND(G376="",H376=""),"",Paramètres!$B$5+SUM(G$5:G376)-SUM(H$5:H376))</f>
        <v/>
      </c>
      <c r="J376" s="12">
        <f>IF(A376="","",MONTH(A376))</f>
        <v/>
      </c>
    </row>
    <row r="377">
      <c r="A377" s="18" t="n"/>
      <c r="B377" s="15" t="n"/>
      <c r="C377" s="15" t="n"/>
      <c r="D377" s="15" t="n"/>
      <c r="E377" s="15" t="n"/>
      <c r="F377" s="15" t="n"/>
      <c r="G377" s="17" t="n"/>
      <c r="H377" s="17" t="n"/>
      <c r="I377" s="7">
        <f>IF(AND(G377="",H377=""),"",Paramètres!$B$5+SUM(G$5:G377)-SUM(H$5:H377))</f>
        <v/>
      </c>
      <c r="J377" s="12">
        <f>IF(A377="","",MONTH(A377))</f>
        <v/>
      </c>
    </row>
    <row r="378">
      <c r="A378" s="18" t="n"/>
      <c r="B378" s="15" t="n"/>
      <c r="C378" s="15" t="n"/>
      <c r="D378" s="15" t="n"/>
      <c r="E378" s="15" t="n"/>
      <c r="F378" s="15" t="n"/>
      <c r="G378" s="17" t="n"/>
      <c r="H378" s="17" t="n"/>
      <c r="I378" s="7">
        <f>IF(AND(G378="",H378=""),"",Paramètres!$B$5+SUM(G$5:G378)-SUM(H$5:H378))</f>
        <v/>
      </c>
      <c r="J378" s="12">
        <f>IF(A378="","",MONTH(A378))</f>
        <v/>
      </c>
    </row>
    <row r="379">
      <c r="A379" s="18" t="n"/>
      <c r="B379" s="15" t="n"/>
      <c r="C379" s="15" t="n"/>
      <c r="D379" s="15" t="n"/>
      <c r="E379" s="15" t="n"/>
      <c r="F379" s="15" t="n"/>
      <c r="G379" s="17" t="n"/>
      <c r="H379" s="17" t="n"/>
      <c r="I379" s="7">
        <f>IF(AND(G379="",H379=""),"",Paramètres!$B$5+SUM(G$5:G379)-SUM(H$5:H379))</f>
        <v/>
      </c>
      <c r="J379" s="12">
        <f>IF(A379="","",MONTH(A379))</f>
        <v/>
      </c>
    </row>
    <row r="380">
      <c r="A380" s="18" t="n"/>
      <c r="B380" s="15" t="n"/>
      <c r="C380" s="15" t="n"/>
      <c r="D380" s="15" t="n"/>
      <c r="E380" s="15" t="n"/>
      <c r="F380" s="15" t="n"/>
      <c r="G380" s="17" t="n"/>
      <c r="H380" s="17" t="n"/>
      <c r="I380" s="7">
        <f>IF(AND(G380="",H380=""),"",Paramètres!$B$5+SUM(G$5:G380)-SUM(H$5:H380))</f>
        <v/>
      </c>
      <c r="J380" s="12">
        <f>IF(A380="","",MONTH(A380))</f>
        <v/>
      </c>
    </row>
    <row r="381">
      <c r="A381" s="18" t="n"/>
      <c r="B381" s="15" t="n"/>
      <c r="C381" s="15" t="n"/>
      <c r="D381" s="15" t="n"/>
      <c r="E381" s="15" t="n"/>
      <c r="F381" s="15" t="n"/>
      <c r="G381" s="17" t="n"/>
      <c r="H381" s="17" t="n"/>
      <c r="I381" s="7">
        <f>IF(AND(G381="",H381=""),"",Paramètres!$B$5+SUM(G$5:G381)-SUM(H$5:H381))</f>
        <v/>
      </c>
      <c r="J381" s="12">
        <f>IF(A381="","",MONTH(A381))</f>
        <v/>
      </c>
    </row>
    <row r="382">
      <c r="A382" s="18" t="n"/>
      <c r="B382" s="15" t="n"/>
      <c r="C382" s="15" t="n"/>
      <c r="D382" s="15" t="n"/>
      <c r="E382" s="15" t="n"/>
      <c r="F382" s="15" t="n"/>
      <c r="G382" s="17" t="n"/>
      <c r="H382" s="17" t="n"/>
      <c r="I382" s="7">
        <f>IF(AND(G382="",H382=""),"",Paramètres!$B$5+SUM(G$5:G382)-SUM(H$5:H382))</f>
        <v/>
      </c>
      <c r="J382" s="12">
        <f>IF(A382="","",MONTH(A382))</f>
        <v/>
      </c>
    </row>
    <row r="383">
      <c r="A383" s="18" t="n"/>
      <c r="B383" s="15" t="n"/>
      <c r="C383" s="15" t="n"/>
      <c r="D383" s="15" t="n"/>
      <c r="E383" s="15" t="n"/>
      <c r="F383" s="15" t="n"/>
      <c r="G383" s="17" t="n"/>
      <c r="H383" s="17" t="n"/>
      <c r="I383" s="7">
        <f>IF(AND(G383="",H383=""),"",Paramètres!$B$5+SUM(G$5:G383)-SUM(H$5:H383))</f>
        <v/>
      </c>
      <c r="J383" s="12">
        <f>IF(A383="","",MONTH(A383))</f>
        <v/>
      </c>
    </row>
    <row r="384">
      <c r="A384" s="18" t="n"/>
      <c r="B384" s="15" t="n"/>
      <c r="C384" s="15" t="n"/>
      <c r="D384" s="15" t="n"/>
      <c r="E384" s="15" t="n"/>
      <c r="F384" s="15" t="n"/>
      <c r="G384" s="17" t="n"/>
      <c r="H384" s="17" t="n"/>
      <c r="I384" s="7">
        <f>IF(AND(G384="",H384=""),"",Paramètres!$B$5+SUM(G$5:G384)-SUM(H$5:H384))</f>
        <v/>
      </c>
      <c r="J384" s="12">
        <f>IF(A384="","",MONTH(A384))</f>
        <v/>
      </c>
    </row>
    <row r="385">
      <c r="A385" s="18" t="n"/>
      <c r="B385" s="15" t="n"/>
      <c r="C385" s="15" t="n"/>
      <c r="D385" s="15" t="n"/>
      <c r="E385" s="15" t="n"/>
      <c r="F385" s="15" t="n"/>
      <c r="G385" s="17" t="n"/>
      <c r="H385" s="17" t="n"/>
      <c r="I385" s="7">
        <f>IF(AND(G385="",H385=""),"",Paramètres!$B$5+SUM(G$5:G385)-SUM(H$5:H385))</f>
        <v/>
      </c>
      <c r="J385" s="12">
        <f>IF(A385="","",MONTH(A385))</f>
        <v/>
      </c>
    </row>
    <row r="386">
      <c r="A386" s="18" t="n"/>
      <c r="B386" s="15" t="n"/>
      <c r="C386" s="15" t="n"/>
      <c r="D386" s="15" t="n"/>
      <c r="E386" s="15" t="n"/>
      <c r="F386" s="15" t="n"/>
      <c r="G386" s="17" t="n"/>
      <c r="H386" s="17" t="n"/>
      <c r="I386" s="7">
        <f>IF(AND(G386="",H386=""),"",Paramètres!$B$5+SUM(G$5:G386)-SUM(H$5:H386))</f>
        <v/>
      </c>
      <c r="J386" s="12">
        <f>IF(A386="","",MONTH(A386))</f>
        <v/>
      </c>
    </row>
    <row r="387">
      <c r="A387" s="18" t="n"/>
      <c r="B387" s="15" t="n"/>
      <c r="C387" s="15" t="n"/>
      <c r="D387" s="15" t="n"/>
      <c r="E387" s="15" t="n"/>
      <c r="F387" s="15" t="n"/>
      <c r="G387" s="17" t="n"/>
      <c r="H387" s="17" t="n"/>
      <c r="I387" s="7">
        <f>IF(AND(G387="",H387=""),"",Paramètres!$B$5+SUM(G$5:G387)-SUM(H$5:H387))</f>
        <v/>
      </c>
      <c r="J387" s="12">
        <f>IF(A387="","",MONTH(A387))</f>
        <v/>
      </c>
    </row>
    <row r="388">
      <c r="A388" s="18" t="n"/>
      <c r="B388" s="15" t="n"/>
      <c r="C388" s="15" t="n"/>
      <c r="D388" s="15" t="n"/>
      <c r="E388" s="15" t="n"/>
      <c r="F388" s="15" t="n"/>
      <c r="G388" s="17" t="n"/>
      <c r="H388" s="17" t="n"/>
      <c r="I388" s="7">
        <f>IF(AND(G388="",H388=""),"",Paramètres!$B$5+SUM(G$5:G388)-SUM(H$5:H388))</f>
        <v/>
      </c>
      <c r="J388" s="12">
        <f>IF(A388="","",MONTH(A388))</f>
        <v/>
      </c>
    </row>
    <row r="389">
      <c r="A389" s="18" t="n"/>
      <c r="B389" s="15" t="n"/>
      <c r="C389" s="15" t="n"/>
      <c r="D389" s="15" t="n"/>
      <c r="E389" s="15" t="n"/>
      <c r="F389" s="15" t="n"/>
      <c r="G389" s="17" t="n"/>
      <c r="H389" s="17" t="n"/>
      <c r="I389" s="7">
        <f>IF(AND(G389="",H389=""),"",Paramètres!$B$5+SUM(G$5:G389)-SUM(H$5:H389))</f>
        <v/>
      </c>
      <c r="J389" s="12">
        <f>IF(A389="","",MONTH(A389))</f>
        <v/>
      </c>
    </row>
    <row r="390">
      <c r="A390" s="18" t="n"/>
      <c r="B390" s="15" t="n"/>
      <c r="C390" s="15" t="n"/>
      <c r="D390" s="15" t="n"/>
      <c r="E390" s="15" t="n"/>
      <c r="F390" s="15" t="n"/>
      <c r="G390" s="17" t="n"/>
      <c r="H390" s="17" t="n"/>
      <c r="I390" s="7">
        <f>IF(AND(G390="",H390=""),"",Paramètres!$B$5+SUM(G$5:G390)-SUM(H$5:H390))</f>
        <v/>
      </c>
      <c r="J390" s="12">
        <f>IF(A390="","",MONTH(A390))</f>
        <v/>
      </c>
    </row>
    <row r="391">
      <c r="A391" s="18" t="n"/>
      <c r="B391" s="15" t="n"/>
      <c r="C391" s="15" t="n"/>
      <c r="D391" s="15" t="n"/>
      <c r="E391" s="15" t="n"/>
      <c r="F391" s="15" t="n"/>
      <c r="G391" s="17" t="n"/>
      <c r="H391" s="17" t="n"/>
      <c r="I391" s="7">
        <f>IF(AND(G391="",H391=""),"",Paramètres!$B$5+SUM(G$5:G391)-SUM(H$5:H391))</f>
        <v/>
      </c>
      <c r="J391" s="12">
        <f>IF(A391="","",MONTH(A391))</f>
        <v/>
      </c>
    </row>
    <row r="392">
      <c r="A392" s="18" t="n"/>
      <c r="B392" s="15" t="n"/>
      <c r="C392" s="15" t="n"/>
      <c r="D392" s="15" t="n"/>
      <c r="E392" s="15" t="n"/>
      <c r="F392" s="15" t="n"/>
      <c r="G392" s="17" t="n"/>
      <c r="H392" s="17" t="n"/>
      <c r="I392" s="7">
        <f>IF(AND(G392="",H392=""),"",Paramètres!$B$5+SUM(G$5:G392)-SUM(H$5:H392))</f>
        <v/>
      </c>
      <c r="J392" s="12">
        <f>IF(A392="","",MONTH(A392))</f>
        <v/>
      </c>
    </row>
    <row r="393">
      <c r="A393" s="18" t="n"/>
      <c r="B393" s="15" t="n"/>
      <c r="C393" s="15" t="n"/>
      <c r="D393" s="15" t="n"/>
      <c r="E393" s="15" t="n"/>
      <c r="F393" s="15" t="n"/>
      <c r="G393" s="17" t="n"/>
      <c r="H393" s="17" t="n"/>
      <c r="I393" s="7">
        <f>IF(AND(G393="",H393=""),"",Paramètres!$B$5+SUM(G$5:G393)-SUM(H$5:H393))</f>
        <v/>
      </c>
      <c r="J393" s="12">
        <f>IF(A393="","",MONTH(A393))</f>
        <v/>
      </c>
    </row>
    <row r="394">
      <c r="A394" s="18" t="n"/>
      <c r="B394" s="15" t="n"/>
      <c r="C394" s="15" t="n"/>
      <c r="D394" s="15" t="n"/>
      <c r="E394" s="15" t="n"/>
      <c r="F394" s="15" t="n"/>
      <c r="G394" s="17" t="n"/>
      <c r="H394" s="17" t="n"/>
      <c r="I394" s="7">
        <f>IF(AND(G394="",H394=""),"",Paramètres!$B$5+SUM(G$5:G394)-SUM(H$5:H394))</f>
        <v/>
      </c>
      <c r="J394" s="12">
        <f>IF(A394="","",MONTH(A394))</f>
        <v/>
      </c>
    </row>
    <row r="395">
      <c r="A395" s="18" t="n"/>
      <c r="B395" s="15" t="n"/>
      <c r="C395" s="15" t="n"/>
      <c r="D395" s="15" t="n"/>
      <c r="E395" s="15" t="n"/>
      <c r="F395" s="15" t="n"/>
      <c r="G395" s="17" t="n"/>
      <c r="H395" s="17" t="n"/>
      <c r="I395" s="7">
        <f>IF(AND(G395="",H395=""),"",Paramètres!$B$5+SUM(G$5:G395)-SUM(H$5:H395))</f>
        <v/>
      </c>
      <c r="J395" s="12">
        <f>IF(A395="","",MONTH(A395))</f>
        <v/>
      </c>
    </row>
    <row r="396">
      <c r="A396" s="18" t="n"/>
      <c r="B396" s="15" t="n"/>
      <c r="C396" s="15" t="n"/>
      <c r="D396" s="15" t="n"/>
      <c r="E396" s="15" t="n"/>
      <c r="F396" s="15" t="n"/>
      <c r="G396" s="17" t="n"/>
      <c r="H396" s="17" t="n"/>
      <c r="I396" s="7">
        <f>IF(AND(G396="",H396=""),"",Paramètres!$B$5+SUM(G$5:G396)-SUM(H$5:H396))</f>
        <v/>
      </c>
      <c r="J396" s="12">
        <f>IF(A396="","",MONTH(A396))</f>
        <v/>
      </c>
    </row>
    <row r="397">
      <c r="A397" s="18" t="n"/>
      <c r="B397" s="15" t="n"/>
      <c r="C397" s="15" t="n"/>
      <c r="D397" s="15" t="n"/>
      <c r="E397" s="15" t="n"/>
      <c r="F397" s="15" t="n"/>
      <c r="G397" s="17" t="n"/>
      <c r="H397" s="17" t="n"/>
      <c r="I397" s="7">
        <f>IF(AND(G397="",H397=""),"",Paramètres!$B$5+SUM(G$5:G397)-SUM(H$5:H397))</f>
        <v/>
      </c>
      <c r="J397" s="12">
        <f>IF(A397="","",MONTH(A397))</f>
        <v/>
      </c>
    </row>
    <row r="398">
      <c r="A398" s="18" t="n"/>
      <c r="B398" s="15" t="n"/>
      <c r="C398" s="15" t="n"/>
      <c r="D398" s="15" t="n"/>
      <c r="E398" s="15" t="n"/>
      <c r="F398" s="15" t="n"/>
      <c r="G398" s="17" t="n"/>
      <c r="H398" s="17" t="n"/>
      <c r="I398" s="7">
        <f>IF(AND(G398="",H398=""),"",Paramètres!$B$5+SUM(G$5:G398)-SUM(H$5:H398))</f>
        <v/>
      </c>
      <c r="J398" s="12">
        <f>IF(A398="","",MONTH(A398))</f>
        <v/>
      </c>
    </row>
    <row r="399">
      <c r="A399" s="18" t="n"/>
      <c r="B399" s="15" t="n"/>
      <c r="C399" s="15" t="n"/>
      <c r="D399" s="15" t="n"/>
      <c r="E399" s="15" t="n"/>
      <c r="F399" s="15" t="n"/>
      <c r="G399" s="17" t="n"/>
      <c r="H399" s="17" t="n"/>
      <c r="I399" s="7">
        <f>IF(AND(G399="",H399=""),"",Paramètres!$B$5+SUM(G$5:G399)-SUM(H$5:H399))</f>
        <v/>
      </c>
      <c r="J399" s="12">
        <f>IF(A399="","",MONTH(A399))</f>
        <v/>
      </c>
    </row>
    <row r="400">
      <c r="A400" s="18" t="n"/>
      <c r="B400" s="15" t="n"/>
      <c r="C400" s="15" t="n"/>
      <c r="D400" s="15" t="n"/>
      <c r="E400" s="15" t="n"/>
      <c r="F400" s="15" t="n"/>
      <c r="G400" s="17" t="n"/>
      <c r="H400" s="17" t="n"/>
      <c r="I400" s="7">
        <f>IF(AND(G400="",H400=""),"",Paramètres!$B$5+SUM(G$5:G400)-SUM(H$5:H400))</f>
        <v/>
      </c>
      <c r="J400" s="12">
        <f>IF(A400="","",MONTH(A400))</f>
        <v/>
      </c>
    </row>
    <row r="401">
      <c r="A401" s="18" t="n"/>
      <c r="B401" s="15" t="n"/>
      <c r="C401" s="15" t="n"/>
      <c r="D401" s="15" t="n"/>
      <c r="E401" s="15" t="n"/>
      <c r="F401" s="15" t="n"/>
      <c r="G401" s="17" t="n"/>
      <c r="H401" s="17" t="n"/>
      <c r="I401" s="7">
        <f>IF(AND(G401="",H401=""),"",Paramètres!$B$5+SUM(G$5:G401)-SUM(H$5:H401))</f>
        <v/>
      </c>
      <c r="J401" s="12">
        <f>IF(A401="","",MONTH(A401))</f>
        <v/>
      </c>
    </row>
    <row r="402">
      <c r="A402" s="18" t="n"/>
      <c r="B402" s="15" t="n"/>
      <c r="C402" s="15" t="n"/>
      <c r="D402" s="15" t="n"/>
      <c r="E402" s="15" t="n"/>
      <c r="F402" s="15" t="n"/>
      <c r="G402" s="17" t="n"/>
      <c r="H402" s="17" t="n"/>
      <c r="I402" s="7">
        <f>IF(AND(G402="",H402=""),"",Paramètres!$B$5+SUM(G$5:G402)-SUM(H$5:H402))</f>
        <v/>
      </c>
      <c r="J402" s="12">
        <f>IF(A402="","",MONTH(A402))</f>
        <v/>
      </c>
    </row>
    <row r="403">
      <c r="A403" s="18" t="n"/>
      <c r="B403" s="15" t="n"/>
      <c r="C403" s="15" t="n"/>
      <c r="D403" s="15" t="n"/>
      <c r="E403" s="15" t="n"/>
      <c r="F403" s="15" t="n"/>
      <c r="G403" s="17" t="n"/>
      <c r="H403" s="17" t="n"/>
      <c r="I403" s="7">
        <f>IF(AND(G403="",H403=""),"",Paramètres!$B$5+SUM(G$5:G403)-SUM(H$5:H403))</f>
        <v/>
      </c>
      <c r="J403" s="12">
        <f>IF(A403="","",MONTH(A403))</f>
        <v/>
      </c>
    </row>
    <row r="404">
      <c r="A404" s="18" t="n"/>
      <c r="B404" s="15" t="n"/>
      <c r="C404" s="15" t="n"/>
      <c r="D404" s="15" t="n"/>
      <c r="E404" s="15" t="n"/>
      <c r="F404" s="15" t="n"/>
      <c r="G404" s="17" t="n"/>
      <c r="H404" s="17" t="n"/>
      <c r="I404" s="7">
        <f>IF(AND(G404="",H404=""),"",Paramètres!$B$5+SUM(G$5:G404)-SUM(H$5:H404))</f>
        <v/>
      </c>
      <c r="J404" s="12">
        <f>IF(A404="","",MONTH(A404))</f>
        <v/>
      </c>
    </row>
    <row r="405">
      <c r="A405" s="18" t="n"/>
      <c r="B405" s="15" t="n"/>
      <c r="C405" s="15" t="n"/>
      <c r="D405" s="15" t="n"/>
      <c r="E405" s="15" t="n"/>
      <c r="F405" s="15" t="n"/>
      <c r="G405" s="17" t="n"/>
      <c r="H405" s="17" t="n"/>
      <c r="I405" s="7">
        <f>IF(AND(G405="",H405=""),"",Paramètres!$B$5+SUM(G$5:G405)-SUM(H$5:H405))</f>
        <v/>
      </c>
      <c r="J405" s="12">
        <f>IF(A405="","",MONTH(A405))</f>
        <v/>
      </c>
    </row>
    <row r="406">
      <c r="A406" s="18" t="n"/>
      <c r="B406" s="15" t="n"/>
      <c r="C406" s="15" t="n"/>
      <c r="D406" s="15" t="n"/>
      <c r="E406" s="15" t="n"/>
      <c r="F406" s="15" t="n"/>
      <c r="G406" s="17" t="n"/>
      <c r="H406" s="17" t="n"/>
      <c r="I406" s="7">
        <f>IF(AND(G406="",H406=""),"",Paramètres!$B$5+SUM(G$5:G406)-SUM(H$5:H406))</f>
        <v/>
      </c>
      <c r="J406" s="12">
        <f>IF(A406="","",MONTH(A406))</f>
        <v/>
      </c>
    </row>
    <row r="407">
      <c r="A407" s="18" t="n"/>
      <c r="B407" s="15" t="n"/>
      <c r="C407" s="15" t="n"/>
      <c r="D407" s="15" t="n"/>
      <c r="E407" s="15" t="n"/>
      <c r="F407" s="15" t="n"/>
      <c r="G407" s="17" t="n"/>
      <c r="H407" s="17" t="n"/>
      <c r="I407" s="7">
        <f>IF(AND(G407="",H407=""),"",Paramètres!$B$5+SUM(G$5:G407)-SUM(H$5:H407))</f>
        <v/>
      </c>
      <c r="J407" s="12">
        <f>IF(A407="","",MONTH(A407))</f>
        <v/>
      </c>
    </row>
    <row r="408">
      <c r="A408" s="18" t="n"/>
      <c r="B408" s="15" t="n"/>
      <c r="C408" s="15" t="n"/>
      <c r="D408" s="15" t="n"/>
      <c r="E408" s="15" t="n"/>
      <c r="F408" s="15" t="n"/>
      <c r="G408" s="17" t="n"/>
      <c r="H408" s="17" t="n"/>
      <c r="I408" s="7">
        <f>IF(AND(G408="",H408=""),"",Paramètres!$B$5+SUM(G$5:G408)-SUM(H$5:H408))</f>
        <v/>
      </c>
      <c r="J408" s="12">
        <f>IF(A408="","",MONTH(A408))</f>
        <v/>
      </c>
    </row>
    <row r="409">
      <c r="A409" s="18" t="n"/>
      <c r="B409" s="15" t="n"/>
      <c r="C409" s="15" t="n"/>
      <c r="D409" s="15" t="n"/>
      <c r="E409" s="15" t="n"/>
      <c r="F409" s="15" t="n"/>
      <c r="G409" s="17" t="n"/>
      <c r="H409" s="17" t="n"/>
      <c r="I409" s="7">
        <f>IF(AND(G409="",H409=""),"",Paramètres!$B$5+SUM(G$5:G409)-SUM(H$5:H409))</f>
        <v/>
      </c>
      <c r="J409" s="12">
        <f>IF(A409="","",MONTH(A409))</f>
        <v/>
      </c>
    </row>
    <row r="410">
      <c r="A410" s="18" t="n"/>
      <c r="B410" s="15" t="n"/>
      <c r="C410" s="15" t="n"/>
      <c r="D410" s="15" t="n"/>
      <c r="E410" s="15" t="n"/>
      <c r="F410" s="15" t="n"/>
      <c r="G410" s="17" t="n"/>
      <c r="H410" s="17" t="n"/>
      <c r="I410" s="7">
        <f>IF(AND(G410="",H410=""),"",Paramètres!$B$5+SUM(G$5:G410)-SUM(H$5:H410))</f>
        <v/>
      </c>
      <c r="J410" s="12">
        <f>IF(A410="","",MONTH(A410))</f>
        <v/>
      </c>
    </row>
    <row r="411">
      <c r="A411" s="18" t="n"/>
      <c r="B411" s="15" t="n"/>
      <c r="C411" s="15" t="n"/>
      <c r="D411" s="15" t="n"/>
      <c r="E411" s="15" t="n"/>
      <c r="F411" s="15" t="n"/>
      <c r="G411" s="17" t="n"/>
      <c r="H411" s="17" t="n"/>
      <c r="I411" s="7">
        <f>IF(AND(G411="",H411=""),"",Paramètres!$B$5+SUM(G$5:G411)-SUM(H$5:H411))</f>
        <v/>
      </c>
      <c r="J411" s="12">
        <f>IF(A411="","",MONTH(A411))</f>
        <v/>
      </c>
    </row>
    <row r="412">
      <c r="A412" s="18" t="n"/>
      <c r="B412" s="15" t="n"/>
      <c r="C412" s="15" t="n"/>
      <c r="D412" s="15" t="n"/>
      <c r="E412" s="15" t="n"/>
      <c r="F412" s="15" t="n"/>
      <c r="G412" s="17" t="n"/>
      <c r="H412" s="17" t="n"/>
      <c r="I412" s="7">
        <f>IF(AND(G412="",H412=""),"",Paramètres!$B$5+SUM(G$5:G412)-SUM(H$5:H412))</f>
        <v/>
      </c>
      <c r="J412" s="12">
        <f>IF(A412="","",MONTH(A412))</f>
        <v/>
      </c>
    </row>
    <row r="413">
      <c r="A413" s="18" t="n"/>
      <c r="B413" s="15" t="n"/>
      <c r="C413" s="15" t="n"/>
      <c r="D413" s="15" t="n"/>
      <c r="E413" s="15" t="n"/>
      <c r="F413" s="15" t="n"/>
      <c r="G413" s="17" t="n"/>
      <c r="H413" s="17" t="n"/>
      <c r="I413" s="7">
        <f>IF(AND(G413="",H413=""),"",Paramètres!$B$5+SUM(G$5:G413)-SUM(H$5:H413))</f>
        <v/>
      </c>
      <c r="J413" s="12">
        <f>IF(A413="","",MONTH(A413))</f>
        <v/>
      </c>
    </row>
    <row r="414">
      <c r="A414" s="18" t="n"/>
      <c r="B414" s="15" t="n"/>
      <c r="C414" s="15" t="n"/>
      <c r="D414" s="15" t="n"/>
      <c r="E414" s="15" t="n"/>
      <c r="F414" s="15" t="n"/>
      <c r="G414" s="17" t="n"/>
      <c r="H414" s="17" t="n"/>
      <c r="I414" s="7">
        <f>IF(AND(G414="",H414=""),"",Paramètres!$B$5+SUM(G$5:G414)-SUM(H$5:H414))</f>
        <v/>
      </c>
      <c r="J414" s="12">
        <f>IF(A414="","",MONTH(A414))</f>
        <v/>
      </c>
    </row>
    <row r="415">
      <c r="A415" s="18" t="n"/>
      <c r="B415" s="15" t="n"/>
      <c r="C415" s="15" t="n"/>
      <c r="D415" s="15" t="n"/>
      <c r="E415" s="15" t="n"/>
      <c r="F415" s="15" t="n"/>
      <c r="G415" s="17" t="n"/>
      <c r="H415" s="17" t="n"/>
      <c r="I415" s="7">
        <f>IF(AND(G415="",H415=""),"",Paramètres!$B$5+SUM(G$5:G415)-SUM(H$5:H415))</f>
        <v/>
      </c>
      <c r="J415" s="12">
        <f>IF(A415="","",MONTH(A415))</f>
        <v/>
      </c>
    </row>
    <row r="416">
      <c r="A416" s="18" t="n"/>
      <c r="B416" s="15" t="n"/>
      <c r="C416" s="15" t="n"/>
      <c r="D416" s="15" t="n"/>
      <c r="E416" s="15" t="n"/>
      <c r="F416" s="15" t="n"/>
      <c r="G416" s="17" t="n"/>
      <c r="H416" s="17" t="n"/>
      <c r="I416" s="7">
        <f>IF(AND(G416="",H416=""),"",Paramètres!$B$5+SUM(G$5:G416)-SUM(H$5:H416))</f>
        <v/>
      </c>
      <c r="J416" s="12">
        <f>IF(A416="","",MONTH(A416))</f>
        <v/>
      </c>
    </row>
    <row r="417">
      <c r="A417" s="18" t="n"/>
      <c r="B417" s="15" t="n"/>
      <c r="C417" s="15" t="n"/>
      <c r="D417" s="15" t="n"/>
      <c r="E417" s="15" t="n"/>
      <c r="F417" s="15" t="n"/>
      <c r="G417" s="17" t="n"/>
      <c r="H417" s="17" t="n"/>
      <c r="I417" s="7">
        <f>IF(AND(G417="",H417=""),"",Paramètres!$B$5+SUM(G$5:G417)-SUM(H$5:H417))</f>
        <v/>
      </c>
      <c r="J417" s="12">
        <f>IF(A417="","",MONTH(A417))</f>
        <v/>
      </c>
    </row>
    <row r="418">
      <c r="A418" s="18" t="n"/>
      <c r="B418" s="15" t="n"/>
      <c r="C418" s="15" t="n"/>
      <c r="D418" s="15" t="n"/>
      <c r="E418" s="15" t="n"/>
      <c r="F418" s="15" t="n"/>
      <c r="G418" s="17" t="n"/>
      <c r="H418" s="17" t="n"/>
      <c r="I418" s="7">
        <f>IF(AND(G418="",H418=""),"",Paramètres!$B$5+SUM(G$5:G418)-SUM(H$5:H418))</f>
        <v/>
      </c>
      <c r="J418" s="12">
        <f>IF(A418="","",MONTH(A418))</f>
        <v/>
      </c>
    </row>
    <row r="419">
      <c r="A419" s="18" t="n"/>
      <c r="B419" s="15" t="n"/>
      <c r="C419" s="15" t="n"/>
      <c r="D419" s="15" t="n"/>
      <c r="E419" s="15" t="n"/>
      <c r="F419" s="15" t="n"/>
      <c r="G419" s="17" t="n"/>
      <c r="H419" s="17" t="n"/>
      <c r="I419" s="7">
        <f>IF(AND(G419="",H419=""),"",Paramètres!$B$5+SUM(G$5:G419)-SUM(H$5:H419))</f>
        <v/>
      </c>
      <c r="J419" s="12">
        <f>IF(A419="","",MONTH(A419))</f>
        <v/>
      </c>
    </row>
    <row r="420">
      <c r="A420" s="18" t="n"/>
      <c r="B420" s="15" t="n"/>
      <c r="C420" s="15" t="n"/>
      <c r="D420" s="15" t="n"/>
      <c r="E420" s="15" t="n"/>
      <c r="F420" s="15" t="n"/>
      <c r="G420" s="17" t="n"/>
      <c r="H420" s="17" t="n"/>
      <c r="I420" s="7">
        <f>IF(AND(G420="",H420=""),"",Paramètres!$B$5+SUM(G$5:G420)-SUM(H$5:H420))</f>
        <v/>
      </c>
      <c r="J420" s="12">
        <f>IF(A420="","",MONTH(A420))</f>
        <v/>
      </c>
    </row>
    <row r="421">
      <c r="A421" s="18" t="n"/>
      <c r="B421" s="15" t="n"/>
      <c r="C421" s="15" t="n"/>
      <c r="D421" s="15" t="n"/>
      <c r="E421" s="15" t="n"/>
      <c r="F421" s="15" t="n"/>
      <c r="G421" s="17" t="n"/>
      <c r="H421" s="17" t="n"/>
      <c r="I421" s="7">
        <f>IF(AND(G421="",H421=""),"",Paramètres!$B$5+SUM(G$5:G421)-SUM(H$5:H421))</f>
        <v/>
      </c>
      <c r="J421" s="12">
        <f>IF(A421="","",MONTH(A421))</f>
        <v/>
      </c>
    </row>
    <row r="422">
      <c r="A422" s="18" t="n"/>
      <c r="B422" s="15" t="n"/>
      <c r="C422" s="15" t="n"/>
      <c r="D422" s="15" t="n"/>
      <c r="E422" s="15" t="n"/>
      <c r="F422" s="15" t="n"/>
      <c r="G422" s="17" t="n"/>
      <c r="H422" s="17" t="n"/>
      <c r="I422" s="7">
        <f>IF(AND(G422="",H422=""),"",Paramètres!$B$5+SUM(G$5:G422)-SUM(H$5:H422))</f>
        <v/>
      </c>
      <c r="J422" s="12">
        <f>IF(A422="","",MONTH(A422))</f>
        <v/>
      </c>
    </row>
    <row r="423">
      <c r="A423" s="18" t="n"/>
      <c r="B423" s="15" t="n"/>
      <c r="C423" s="15" t="n"/>
      <c r="D423" s="15" t="n"/>
      <c r="E423" s="15" t="n"/>
      <c r="F423" s="15" t="n"/>
      <c r="G423" s="17" t="n"/>
      <c r="H423" s="17" t="n"/>
      <c r="I423" s="7">
        <f>IF(AND(G423="",H423=""),"",Paramètres!$B$5+SUM(G$5:G423)-SUM(H$5:H423))</f>
        <v/>
      </c>
      <c r="J423" s="12">
        <f>IF(A423="","",MONTH(A423))</f>
        <v/>
      </c>
    </row>
    <row r="424">
      <c r="A424" s="18" t="n"/>
      <c r="B424" s="15" t="n"/>
      <c r="C424" s="15" t="n"/>
      <c r="D424" s="15" t="n"/>
      <c r="E424" s="15" t="n"/>
      <c r="F424" s="15" t="n"/>
      <c r="G424" s="17" t="n"/>
      <c r="H424" s="17" t="n"/>
      <c r="I424" s="7">
        <f>IF(AND(G424="",H424=""),"",Paramètres!$B$5+SUM(G$5:G424)-SUM(H$5:H424))</f>
        <v/>
      </c>
      <c r="J424" s="12">
        <f>IF(A424="","",MONTH(A424))</f>
        <v/>
      </c>
    </row>
    <row r="425">
      <c r="A425" s="18" t="n"/>
      <c r="B425" s="15" t="n"/>
      <c r="C425" s="15" t="n"/>
      <c r="D425" s="15" t="n"/>
      <c r="E425" s="15" t="n"/>
      <c r="F425" s="15" t="n"/>
      <c r="G425" s="17" t="n"/>
      <c r="H425" s="17" t="n"/>
      <c r="I425" s="7">
        <f>IF(AND(G425="",H425=""),"",Paramètres!$B$5+SUM(G$5:G425)-SUM(H$5:H425))</f>
        <v/>
      </c>
      <c r="J425" s="12">
        <f>IF(A425="","",MONTH(A425))</f>
        <v/>
      </c>
    </row>
    <row r="426">
      <c r="A426" s="18" t="n"/>
      <c r="B426" s="15" t="n"/>
      <c r="C426" s="15" t="n"/>
      <c r="D426" s="15" t="n"/>
      <c r="E426" s="15" t="n"/>
      <c r="F426" s="15" t="n"/>
      <c r="G426" s="17" t="n"/>
      <c r="H426" s="17" t="n"/>
      <c r="I426" s="7">
        <f>IF(AND(G426="",H426=""),"",Paramètres!$B$5+SUM(G$5:G426)-SUM(H$5:H426))</f>
        <v/>
      </c>
      <c r="J426" s="12">
        <f>IF(A426="","",MONTH(A426))</f>
        <v/>
      </c>
    </row>
    <row r="427">
      <c r="A427" s="18" t="n"/>
      <c r="B427" s="15" t="n"/>
      <c r="C427" s="15" t="n"/>
      <c r="D427" s="15" t="n"/>
      <c r="E427" s="15" t="n"/>
      <c r="F427" s="15" t="n"/>
      <c r="G427" s="17" t="n"/>
      <c r="H427" s="17" t="n"/>
      <c r="I427" s="7">
        <f>IF(AND(G427="",H427=""),"",Paramètres!$B$5+SUM(G$5:G427)-SUM(H$5:H427))</f>
        <v/>
      </c>
      <c r="J427" s="12">
        <f>IF(A427="","",MONTH(A427))</f>
        <v/>
      </c>
    </row>
    <row r="428">
      <c r="A428" s="18" t="n"/>
      <c r="B428" s="15" t="n"/>
      <c r="C428" s="15" t="n"/>
      <c r="D428" s="15" t="n"/>
      <c r="E428" s="15" t="n"/>
      <c r="F428" s="15" t="n"/>
      <c r="G428" s="17" t="n"/>
      <c r="H428" s="17" t="n"/>
      <c r="I428" s="7">
        <f>IF(AND(G428="",H428=""),"",Paramètres!$B$5+SUM(G$5:G428)-SUM(H$5:H428))</f>
        <v/>
      </c>
      <c r="J428" s="12">
        <f>IF(A428="","",MONTH(A428))</f>
        <v/>
      </c>
    </row>
    <row r="429">
      <c r="A429" s="18" t="n"/>
      <c r="B429" s="15" t="n"/>
      <c r="C429" s="15" t="n"/>
      <c r="D429" s="15" t="n"/>
      <c r="E429" s="15" t="n"/>
      <c r="F429" s="15" t="n"/>
      <c r="G429" s="17" t="n"/>
      <c r="H429" s="17" t="n"/>
      <c r="I429" s="7">
        <f>IF(AND(G429="",H429=""),"",Paramètres!$B$5+SUM(G$5:G429)-SUM(H$5:H429))</f>
        <v/>
      </c>
      <c r="J429" s="12">
        <f>IF(A429="","",MONTH(A429))</f>
        <v/>
      </c>
    </row>
    <row r="430">
      <c r="A430" s="18" t="n"/>
      <c r="B430" s="15" t="n"/>
      <c r="C430" s="15" t="n"/>
      <c r="D430" s="15" t="n"/>
      <c r="E430" s="15" t="n"/>
      <c r="F430" s="15" t="n"/>
      <c r="G430" s="17" t="n"/>
      <c r="H430" s="17" t="n"/>
      <c r="I430" s="7">
        <f>IF(AND(G430="",H430=""),"",Paramètres!$B$5+SUM(G$5:G430)-SUM(H$5:H430))</f>
        <v/>
      </c>
      <c r="J430" s="12">
        <f>IF(A430="","",MONTH(A430))</f>
        <v/>
      </c>
    </row>
    <row r="431">
      <c r="A431" s="18" t="n"/>
      <c r="B431" s="15" t="n"/>
      <c r="C431" s="15" t="n"/>
      <c r="D431" s="15" t="n"/>
      <c r="E431" s="15" t="n"/>
      <c r="F431" s="15" t="n"/>
      <c r="G431" s="17" t="n"/>
      <c r="H431" s="17" t="n"/>
      <c r="I431" s="7">
        <f>IF(AND(G431="",H431=""),"",Paramètres!$B$5+SUM(G$5:G431)-SUM(H$5:H431))</f>
        <v/>
      </c>
      <c r="J431" s="12">
        <f>IF(A431="","",MONTH(A431))</f>
        <v/>
      </c>
    </row>
    <row r="432">
      <c r="A432" s="18" t="n"/>
      <c r="B432" s="15" t="n"/>
      <c r="C432" s="15" t="n"/>
      <c r="D432" s="15" t="n"/>
      <c r="E432" s="15" t="n"/>
      <c r="F432" s="15" t="n"/>
      <c r="G432" s="17" t="n"/>
      <c r="H432" s="17" t="n"/>
      <c r="I432" s="7">
        <f>IF(AND(G432="",H432=""),"",Paramètres!$B$5+SUM(G$5:G432)-SUM(H$5:H432))</f>
        <v/>
      </c>
      <c r="J432" s="12">
        <f>IF(A432="","",MONTH(A432))</f>
        <v/>
      </c>
    </row>
    <row r="433">
      <c r="A433" s="18" t="n"/>
      <c r="B433" s="15" t="n"/>
      <c r="C433" s="15" t="n"/>
      <c r="D433" s="15" t="n"/>
      <c r="E433" s="15" t="n"/>
      <c r="F433" s="15" t="n"/>
      <c r="G433" s="17" t="n"/>
      <c r="H433" s="17" t="n"/>
      <c r="I433" s="7">
        <f>IF(AND(G433="",H433=""),"",Paramètres!$B$5+SUM(G$5:G433)-SUM(H$5:H433))</f>
        <v/>
      </c>
      <c r="J433" s="12">
        <f>IF(A433="","",MONTH(A433))</f>
        <v/>
      </c>
    </row>
    <row r="434">
      <c r="A434" s="18" t="n"/>
      <c r="B434" s="15" t="n"/>
      <c r="C434" s="15" t="n"/>
      <c r="D434" s="15" t="n"/>
      <c r="E434" s="15" t="n"/>
      <c r="F434" s="15" t="n"/>
      <c r="G434" s="17" t="n"/>
      <c r="H434" s="17" t="n"/>
      <c r="I434" s="7">
        <f>IF(AND(G434="",H434=""),"",Paramètres!$B$5+SUM(G$5:G434)-SUM(H$5:H434))</f>
        <v/>
      </c>
      <c r="J434" s="12">
        <f>IF(A434="","",MONTH(A434))</f>
        <v/>
      </c>
    </row>
    <row r="435">
      <c r="A435" s="18" t="n"/>
      <c r="B435" s="15" t="n"/>
      <c r="C435" s="15" t="n"/>
      <c r="D435" s="15" t="n"/>
      <c r="E435" s="15" t="n"/>
      <c r="F435" s="15" t="n"/>
      <c r="G435" s="17" t="n"/>
      <c r="H435" s="17" t="n"/>
      <c r="I435" s="7">
        <f>IF(AND(G435="",H435=""),"",Paramètres!$B$5+SUM(G$5:G435)-SUM(H$5:H435))</f>
        <v/>
      </c>
      <c r="J435" s="12">
        <f>IF(A435="","",MONTH(A435))</f>
        <v/>
      </c>
    </row>
    <row r="436">
      <c r="A436" s="18" t="n"/>
      <c r="B436" s="15" t="n"/>
      <c r="C436" s="15" t="n"/>
      <c r="D436" s="15" t="n"/>
      <c r="E436" s="15" t="n"/>
      <c r="F436" s="15" t="n"/>
      <c r="G436" s="17" t="n"/>
      <c r="H436" s="17" t="n"/>
      <c r="I436" s="7">
        <f>IF(AND(G436="",H436=""),"",Paramètres!$B$5+SUM(G$5:G436)-SUM(H$5:H436))</f>
        <v/>
      </c>
      <c r="J436" s="12">
        <f>IF(A436="","",MONTH(A436))</f>
        <v/>
      </c>
    </row>
    <row r="437">
      <c r="A437" s="18" t="n"/>
      <c r="B437" s="15" t="n"/>
      <c r="C437" s="15" t="n"/>
      <c r="D437" s="15" t="n"/>
      <c r="E437" s="15" t="n"/>
      <c r="F437" s="15" t="n"/>
      <c r="G437" s="17" t="n"/>
      <c r="H437" s="17" t="n"/>
      <c r="I437" s="7">
        <f>IF(AND(G437="",H437=""),"",Paramètres!$B$5+SUM(G$5:G437)-SUM(H$5:H437))</f>
        <v/>
      </c>
      <c r="J437" s="12">
        <f>IF(A437="","",MONTH(A437))</f>
        <v/>
      </c>
    </row>
    <row r="438">
      <c r="A438" s="18" t="n"/>
      <c r="B438" s="15" t="n"/>
      <c r="C438" s="15" t="n"/>
      <c r="D438" s="15" t="n"/>
      <c r="E438" s="15" t="n"/>
      <c r="F438" s="15" t="n"/>
      <c r="G438" s="17" t="n"/>
      <c r="H438" s="17" t="n"/>
      <c r="I438" s="7">
        <f>IF(AND(G438="",H438=""),"",Paramètres!$B$5+SUM(G$5:G438)-SUM(H$5:H438))</f>
        <v/>
      </c>
      <c r="J438" s="12">
        <f>IF(A438="","",MONTH(A438))</f>
        <v/>
      </c>
    </row>
    <row r="439">
      <c r="A439" s="18" t="n"/>
      <c r="B439" s="15" t="n"/>
      <c r="C439" s="15" t="n"/>
      <c r="D439" s="15" t="n"/>
      <c r="E439" s="15" t="n"/>
      <c r="F439" s="15" t="n"/>
      <c r="G439" s="17" t="n"/>
      <c r="H439" s="17" t="n"/>
      <c r="I439" s="7">
        <f>IF(AND(G439="",H439=""),"",Paramètres!$B$5+SUM(G$5:G439)-SUM(H$5:H439))</f>
        <v/>
      </c>
      <c r="J439" s="12">
        <f>IF(A439="","",MONTH(A439))</f>
        <v/>
      </c>
    </row>
    <row r="440">
      <c r="A440" s="18" t="n"/>
      <c r="B440" s="15" t="n"/>
      <c r="C440" s="15" t="n"/>
      <c r="D440" s="15" t="n"/>
      <c r="E440" s="15" t="n"/>
      <c r="F440" s="15" t="n"/>
      <c r="G440" s="17" t="n"/>
      <c r="H440" s="17" t="n"/>
      <c r="I440" s="7">
        <f>IF(AND(G440="",H440=""),"",Paramètres!$B$5+SUM(G$5:G440)-SUM(H$5:H440))</f>
        <v/>
      </c>
      <c r="J440" s="12">
        <f>IF(A440="","",MONTH(A440))</f>
        <v/>
      </c>
    </row>
    <row r="441">
      <c r="A441" s="18" t="n"/>
      <c r="B441" s="15" t="n"/>
      <c r="C441" s="15" t="n"/>
      <c r="D441" s="15" t="n"/>
      <c r="E441" s="15" t="n"/>
      <c r="F441" s="15" t="n"/>
      <c r="G441" s="17" t="n"/>
      <c r="H441" s="17" t="n"/>
      <c r="I441" s="7">
        <f>IF(AND(G441="",H441=""),"",Paramètres!$B$5+SUM(G$5:G441)-SUM(H$5:H441))</f>
        <v/>
      </c>
      <c r="J441" s="12">
        <f>IF(A441="","",MONTH(A441))</f>
        <v/>
      </c>
    </row>
    <row r="442">
      <c r="A442" s="18" t="n"/>
      <c r="B442" s="15" t="n"/>
      <c r="C442" s="15" t="n"/>
      <c r="D442" s="15" t="n"/>
      <c r="E442" s="15" t="n"/>
      <c r="F442" s="15" t="n"/>
      <c r="G442" s="17" t="n"/>
      <c r="H442" s="17" t="n"/>
      <c r="I442" s="7">
        <f>IF(AND(G442="",H442=""),"",Paramètres!$B$5+SUM(G$5:G442)-SUM(H$5:H442))</f>
        <v/>
      </c>
      <c r="J442" s="12">
        <f>IF(A442="","",MONTH(A442))</f>
        <v/>
      </c>
    </row>
    <row r="443">
      <c r="A443" s="18" t="n"/>
      <c r="B443" s="15" t="n"/>
      <c r="C443" s="15" t="n"/>
      <c r="D443" s="15" t="n"/>
      <c r="E443" s="15" t="n"/>
      <c r="F443" s="15" t="n"/>
      <c r="G443" s="17" t="n"/>
      <c r="H443" s="17" t="n"/>
      <c r="I443" s="7">
        <f>IF(AND(G443="",H443=""),"",Paramètres!$B$5+SUM(G$5:G443)-SUM(H$5:H443))</f>
        <v/>
      </c>
      <c r="J443" s="12">
        <f>IF(A443="","",MONTH(A443))</f>
        <v/>
      </c>
    </row>
    <row r="444">
      <c r="A444" s="18" t="n"/>
      <c r="B444" s="15" t="n"/>
      <c r="C444" s="15" t="n"/>
      <c r="D444" s="15" t="n"/>
      <c r="E444" s="15" t="n"/>
      <c r="F444" s="15" t="n"/>
      <c r="G444" s="17" t="n"/>
      <c r="H444" s="17" t="n"/>
      <c r="I444" s="7">
        <f>IF(AND(G444="",H444=""),"",Paramètres!$B$5+SUM(G$5:G444)-SUM(H$5:H444))</f>
        <v/>
      </c>
      <c r="J444" s="12">
        <f>IF(A444="","",MONTH(A444))</f>
        <v/>
      </c>
    </row>
    <row r="445">
      <c r="A445" s="18" t="n"/>
      <c r="B445" s="15" t="n"/>
      <c r="C445" s="15" t="n"/>
      <c r="D445" s="15" t="n"/>
      <c r="E445" s="15" t="n"/>
      <c r="F445" s="15" t="n"/>
      <c r="G445" s="17" t="n"/>
      <c r="H445" s="17" t="n"/>
      <c r="I445" s="7">
        <f>IF(AND(G445="",H445=""),"",Paramètres!$B$5+SUM(G$5:G445)-SUM(H$5:H445))</f>
        <v/>
      </c>
      <c r="J445" s="12">
        <f>IF(A445="","",MONTH(A445))</f>
        <v/>
      </c>
    </row>
    <row r="446">
      <c r="A446" s="18" t="n"/>
      <c r="B446" s="15" t="n"/>
      <c r="C446" s="15" t="n"/>
      <c r="D446" s="15" t="n"/>
      <c r="E446" s="15" t="n"/>
      <c r="F446" s="15" t="n"/>
      <c r="G446" s="17" t="n"/>
      <c r="H446" s="17" t="n"/>
      <c r="I446" s="7">
        <f>IF(AND(G446="",H446=""),"",Paramètres!$B$5+SUM(G$5:G446)-SUM(H$5:H446))</f>
        <v/>
      </c>
      <c r="J446" s="12">
        <f>IF(A446="","",MONTH(A446))</f>
        <v/>
      </c>
    </row>
    <row r="447">
      <c r="A447" s="18" t="n"/>
      <c r="B447" s="15" t="n"/>
      <c r="C447" s="15" t="n"/>
      <c r="D447" s="15" t="n"/>
      <c r="E447" s="15" t="n"/>
      <c r="F447" s="15" t="n"/>
      <c r="G447" s="17" t="n"/>
      <c r="H447" s="17" t="n"/>
      <c r="I447" s="7">
        <f>IF(AND(G447="",H447=""),"",Paramètres!$B$5+SUM(G$5:G447)-SUM(H$5:H447))</f>
        <v/>
      </c>
      <c r="J447" s="12">
        <f>IF(A447="","",MONTH(A447))</f>
        <v/>
      </c>
    </row>
    <row r="448">
      <c r="A448" s="18" t="n"/>
      <c r="B448" s="15" t="n"/>
      <c r="C448" s="15" t="n"/>
      <c r="D448" s="15" t="n"/>
      <c r="E448" s="15" t="n"/>
      <c r="F448" s="15" t="n"/>
      <c r="G448" s="17" t="n"/>
      <c r="H448" s="17" t="n"/>
      <c r="I448" s="7">
        <f>IF(AND(G448="",H448=""),"",Paramètres!$B$5+SUM(G$5:G448)-SUM(H$5:H448))</f>
        <v/>
      </c>
      <c r="J448" s="12">
        <f>IF(A448="","",MONTH(A448))</f>
        <v/>
      </c>
    </row>
    <row r="449">
      <c r="A449" s="18" t="n"/>
      <c r="B449" s="15" t="n"/>
      <c r="C449" s="15" t="n"/>
      <c r="D449" s="15" t="n"/>
      <c r="E449" s="15" t="n"/>
      <c r="F449" s="15" t="n"/>
      <c r="G449" s="17" t="n"/>
      <c r="H449" s="17" t="n"/>
      <c r="I449" s="7">
        <f>IF(AND(G449="",H449=""),"",Paramètres!$B$5+SUM(G$5:G449)-SUM(H$5:H449))</f>
        <v/>
      </c>
      <c r="J449" s="12">
        <f>IF(A449="","",MONTH(A449))</f>
        <v/>
      </c>
    </row>
    <row r="450">
      <c r="A450" s="18" t="n"/>
      <c r="B450" s="15" t="n"/>
      <c r="C450" s="15" t="n"/>
      <c r="D450" s="15" t="n"/>
      <c r="E450" s="15" t="n"/>
      <c r="F450" s="15" t="n"/>
      <c r="G450" s="17" t="n"/>
      <c r="H450" s="17" t="n"/>
      <c r="I450" s="7">
        <f>IF(AND(G450="",H450=""),"",Paramètres!$B$5+SUM(G$5:G450)-SUM(H$5:H450))</f>
        <v/>
      </c>
      <c r="J450" s="12">
        <f>IF(A450="","",MONTH(A450))</f>
        <v/>
      </c>
    </row>
    <row r="451">
      <c r="A451" s="18" t="n"/>
      <c r="B451" s="15" t="n"/>
      <c r="C451" s="15" t="n"/>
      <c r="D451" s="15" t="n"/>
      <c r="E451" s="15" t="n"/>
      <c r="F451" s="15" t="n"/>
      <c r="G451" s="17" t="n"/>
      <c r="H451" s="17" t="n"/>
      <c r="I451" s="7">
        <f>IF(AND(G451="",H451=""),"",Paramètres!$B$5+SUM(G$5:G451)-SUM(H$5:H451))</f>
        <v/>
      </c>
      <c r="J451" s="12">
        <f>IF(A451="","",MONTH(A451))</f>
        <v/>
      </c>
    </row>
    <row r="452">
      <c r="A452" s="18" t="n"/>
      <c r="B452" s="15" t="n"/>
      <c r="C452" s="15" t="n"/>
      <c r="D452" s="15" t="n"/>
      <c r="E452" s="15" t="n"/>
      <c r="F452" s="15" t="n"/>
      <c r="G452" s="17" t="n"/>
      <c r="H452" s="17" t="n"/>
      <c r="I452" s="7">
        <f>IF(AND(G452="",H452=""),"",Paramètres!$B$5+SUM(G$5:G452)-SUM(H$5:H452))</f>
        <v/>
      </c>
      <c r="J452" s="12">
        <f>IF(A452="","",MONTH(A452))</f>
        <v/>
      </c>
    </row>
    <row r="453">
      <c r="A453" s="18" t="n"/>
      <c r="B453" s="15" t="n"/>
      <c r="C453" s="15" t="n"/>
      <c r="D453" s="15" t="n"/>
      <c r="E453" s="15" t="n"/>
      <c r="F453" s="15" t="n"/>
      <c r="G453" s="17" t="n"/>
      <c r="H453" s="17" t="n"/>
      <c r="I453" s="7">
        <f>IF(AND(G453="",H453=""),"",Paramètres!$B$5+SUM(G$5:G453)-SUM(H$5:H453))</f>
        <v/>
      </c>
      <c r="J453" s="12">
        <f>IF(A453="","",MONTH(A453))</f>
        <v/>
      </c>
    </row>
    <row r="454">
      <c r="A454" s="18" t="n"/>
      <c r="B454" s="15" t="n"/>
      <c r="C454" s="15" t="n"/>
      <c r="D454" s="15" t="n"/>
      <c r="E454" s="15" t="n"/>
      <c r="F454" s="15" t="n"/>
      <c r="G454" s="17" t="n"/>
      <c r="H454" s="17" t="n"/>
      <c r="I454" s="7">
        <f>IF(AND(G454="",H454=""),"",Paramètres!$B$5+SUM(G$5:G454)-SUM(H$5:H454))</f>
        <v/>
      </c>
      <c r="J454" s="12">
        <f>IF(A454="","",MONTH(A454))</f>
        <v/>
      </c>
    </row>
    <row r="455">
      <c r="A455" s="18" t="n"/>
      <c r="B455" s="15" t="n"/>
      <c r="C455" s="15" t="n"/>
      <c r="D455" s="15" t="n"/>
      <c r="E455" s="15" t="n"/>
      <c r="F455" s="15" t="n"/>
      <c r="G455" s="17" t="n"/>
      <c r="H455" s="17" t="n"/>
      <c r="I455" s="7">
        <f>IF(AND(G455="",H455=""),"",Paramètres!$B$5+SUM(G$5:G455)-SUM(H$5:H455))</f>
        <v/>
      </c>
      <c r="J455" s="12">
        <f>IF(A455="","",MONTH(A455))</f>
        <v/>
      </c>
    </row>
    <row r="456">
      <c r="A456" s="18" t="n"/>
      <c r="B456" s="15" t="n"/>
      <c r="C456" s="15" t="n"/>
      <c r="D456" s="15" t="n"/>
      <c r="E456" s="15" t="n"/>
      <c r="F456" s="15" t="n"/>
      <c r="G456" s="17" t="n"/>
      <c r="H456" s="17" t="n"/>
      <c r="I456" s="7">
        <f>IF(AND(G456="",H456=""),"",Paramètres!$B$5+SUM(G$5:G456)-SUM(H$5:H456))</f>
        <v/>
      </c>
      <c r="J456" s="12">
        <f>IF(A456="","",MONTH(A456))</f>
        <v/>
      </c>
    </row>
    <row r="457">
      <c r="A457" s="18" t="n"/>
      <c r="B457" s="15" t="n"/>
      <c r="C457" s="15" t="n"/>
      <c r="D457" s="15" t="n"/>
      <c r="E457" s="15" t="n"/>
      <c r="F457" s="15" t="n"/>
      <c r="G457" s="17" t="n"/>
      <c r="H457" s="17" t="n"/>
      <c r="I457" s="7">
        <f>IF(AND(G457="",H457=""),"",Paramètres!$B$5+SUM(G$5:G457)-SUM(H$5:H457))</f>
        <v/>
      </c>
      <c r="J457" s="12">
        <f>IF(A457="","",MONTH(A457))</f>
        <v/>
      </c>
    </row>
    <row r="458">
      <c r="A458" s="18" t="n"/>
      <c r="B458" s="15" t="n"/>
      <c r="C458" s="15" t="n"/>
      <c r="D458" s="15" t="n"/>
      <c r="E458" s="15" t="n"/>
      <c r="F458" s="15" t="n"/>
      <c r="G458" s="17" t="n"/>
      <c r="H458" s="17" t="n"/>
      <c r="I458" s="7">
        <f>IF(AND(G458="",H458=""),"",Paramètres!$B$5+SUM(G$5:G458)-SUM(H$5:H458))</f>
        <v/>
      </c>
      <c r="J458" s="12">
        <f>IF(A458="","",MONTH(A458))</f>
        <v/>
      </c>
    </row>
    <row r="459">
      <c r="A459" s="18" t="n"/>
      <c r="B459" s="15" t="n"/>
      <c r="C459" s="15" t="n"/>
      <c r="D459" s="15" t="n"/>
      <c r="E459" s="15" t="n"/>
      <c r="F459" s="15" t="n"/>
      <c r="G459" s="17" t="n"/>
      <c r="H459" s="17" t="n"/>
      <c r="I459" s="7">
        <f>IF(AND(G459="",H459=""),"",Paramètres!$B$5+SUM(G$5:G459)-SUM(H$5:H459))</f>
        <v/>
      </c>
      <c r="J459" s="12">
        <f>IF(A459="","",MONTH(A459))</f>
        <v/>
      </c>
    </row>
    <row r="460">
      <c r="A460" s="18" t="n"/>
      <c r="B460" s="15" t="n"/>
      <c r="C460" s="15" t="n"/>
      <c r="D460" s="15" t="n"/>
      <c r="E460" s="15" t="n"/>
      <c r="F460" s="15" t="n"/>
      <c r="G460" s="17" t="n"/>
      <c r="H460" s="17" t="n"/>
      <c r="I460" s="7">
        <f>IF(AND(G460="",H460=""),"",Paramètres!$B$5+SUM(G$5:G460)-SUM(H$5:H460))</f>
        <v/>
      </c>
      <c r="J460" s="12">
        <f>IF(A460="","",MONTH(A460))</f>
        <v/>
      </c>
    </row>
    <row r="461">
      <c r="A461" s="18" t="n"/>
      <c r="B461" s="15" t="n"/>
      <c r="C461" s="15" t="n"/>
      <c r="D461" s="15" t="n"/>
      <c r="E461" s="15" t="n"/>
      <c r="F461" s="15" t="n"/>
      <c r="G461" s="17" t="n"/>
      <c r="H461" s="17" t="n"/>
      <c r="I461" s="7">
        <f>IF(AND(G461="",H461=""),"",Paramètres!$B$5+SUM(G$5:G461)-SUM(H$5:H461))</f>
        <v/>
      </c>
      <c r="J461" s="12">
        <f>IF(A461="","",MONTH(A461))</f>
        <v/>
      </c>
    </row>
    <row r="462">
      <c r="A462" s="18" t="n"/>
      <c r="B462" s="15" t="n"/>
      <c r="C462" s="15" t="n"/>
      <c r="D462" s="15" t="n"/>
      <c r="E462" s="15" t="n"/>
      <c r="F462" s="15" t="n"/>
      <c r="G462" s="17" t="n"/>
      <c r="H462" s="17" t="n"/>
      <c r="I462" s="7">
        <f>IF(AND(G462="",H462=""),"",Paramètres!$B$5+SUM(G$5:G462)-SUM(H$5:H462))</f>
        <v/>
      </c>
      <c r="J462" s="12">
        <f>IF(A462="","",MONTH(A462))</f>
        <v/>
      </c>
    </row>
    <row r="463">
      <c r="A463" s="18" t="n"/>
      <c r="B463" s="15" t="n"/>
      <c r="C463" s="15" t="n"/>
      <c r="D463" s="15" t="n"/>
      <c r="E463" s="15" t="n"/>
      <c r="F463" s="15" t="n"/>
      <c r="G463" s="17" t="n"/>
      <c r="H463" s="17" t="n"/>
      <c r="I463" s="7">
        <f>IF(AND(G463="",H463=""),"",Paramètres!$B$5+SUM(G$5:G463)-SUM(H$5:H463))</f>
        <v/>
      </c>
      <c r="J463" s="12">
        <f>IF(A463="","",MONTH(A463))</f>
        <v/>
      </c>
    </row>
    <row r="464">
      <c r="A464" s="18" t="n"/>
      <c r="B464" s="15" t="n"/>
      <c r="C464" s="15" t="n"/>
      <c r="D464" s="15" t="n"/>
      <c r="E464" s="15" t="n"/>
      <c r="F464" s="15" t="n"/>
      <c r="G464" s="17" t="n"/>
      <c r="H464" s="17" t="n"/>
      <c r="I464" s="7">
        <f>IF(AND(G464="",H464=""),"",Paramètres!$B$5+SUM(G$5:G464)-SUM(H$5:H464))</f>
        <v/>
      </c>
      <c r="J464" s="12">
        <f>IF(A464="","",MONTH(A464))</f>
        <v/>
      </c>
    </row>
    <row r="465">
      <c r="A465" s="18" t="n"/>
      <c r="B465" s="15" t="n"/>
      <c r="C465" s="15" t="n"/>
      <c r="D465" s="15" t="n"/>
      <c r="E465" s="15" t="n"/>
      <c r="F465" s="15" t="n"/>
      <c r="G465" s="17" t="n"/>
      <c r="H465" s="17" t="n"/>
      <c r="I465" s="7">
        <f>IF(AND(G465="",H465=""),"",Paramètres!$B$5+SUM(G$5:G465)-SUM(H$5:H465))</f>
        <v/>
      </c>
      <c r="J465" s="12">
        <f>IF(A465="","",MONTH(A465))</f>
        <v/>
      </c>
    </row>
    <row r="466">
      <c r="A466" s="18" t="n"/>
      <c r="B466" s="15" t="n"/>
      <c r="C466" s="15" t="n"/>
      <c r="D466" s="15" t="n"/>
      <c r="E466" s="15" t="n"/>
      <c r="F466" s="15" t="n"/>
      <c r="G466" s="17" t="n"/>
      <c r="H466" s="17" t="n"/>
      <c r="I466" s="7">
        <f>IF(AND(G466="",H466=""),"",Paramètres!$B$5+SUM(G$5:G466)-SUM(H$5:H466))</f>
        <v/>
      </c>
      <c r="J466" s="12">
        <f>IF(A466="","",MONTH(A466))</f>
        <v/>
      </c>
    </row>
    <row r="467">
      <c r="A467" s="18" t="n"/>
      <c r="B467" s="15" t="n"/>
      <c r="C467" s="15" t="n"/>
      <c r="D467" s="15" t="n"/>
      <c r="E467" s="15" t="n"/>
      <c r="F467" s="15" t="n"/>
      <c r="G467" s="17" t="n"/>
      <c r="H467" s="17" t="n"/>
      <c r="I467" s="7">
        <f>IF(AND(G467="",H467=""),"",Paramètres!$B$5+SUM(G$5:G467)-SUM(H$5:H467))</f>
        <v/>
      </c>
      <c r="J467" s="12">
        <f>IF(A467="","",MONTH(A467))</f>
        <v/>
      </c>
    </row>
    <row r="468">
      <c r="A468" s="18" t="n"/>
      <c r="B468" s="15" t="n"/>
      <c r="C468" s="15" t="n"/>
      <c r="D468" s="15" t="n"/>
      <c r="E468" s="15" t="n"/>
      <c r="F468" s="15" t="n"/>
      <c r="G468" s="17" t="n"/>
      <c r="H468" s="17" t="n"/>
      <c r="I468" s="7">
        <f>IF(AND(G468="",H468=""),"",Paramètres!$B$5+SUM(G$5:G468)-SUM(H$5:H468))</f>
        <v/>
      </c>
      <c r="J468" s="12">
        <f>IF(A468="","",MONTH(A468))</f>
        <v/>
      </c>
    </row>
    <row r="469">
      <c r="A469" s="18" t="n"/>
      <c r="B469" s="15" t="n"/>
      <c r="C469" s="15" t="n"/>
      <c r="D469" s="15" t="n"/>
      <c r="E469" s="15" t="n"/>
      <c r="F469" s="15" t="n"/>
      <c r="G469" s="17" t="n"/>
      <c r="H469" s="17" t="n"/>
      <c r="I469" s="7">
        <f>IF(AND(G469="",H469=""),"",Paramètres!$B$5+SUM(G$5:G469)-SUM(H$5:H469))</f>
        <v/>
      </c>
      <c r="J469" s="12">
        <f>IF(A469="","",MONTH(A469))</f>
        <v/>
      </c>
    </row>
    <row r="470">
      <c r="A470" s="18" t="n"/>
      <c r="B470" s="15" t="n"/>
      <c r="C470" s="15" t="n"/>
      <c r="D470" s="15" t="n"/>
      <c r="E470" s="15" t="n"/>
      <c r="F470" s="15" t="n"/>
      <c r="G470" s="17" t="n"/>
      <c r="H470" s="17" t="n"/>
      <c r="I470" s="7">
        <f>IF(AND(G470="",H470=""),"",Paramètres!$B$5+SUM(G$5:G470)-SUM(H$5:H470))</f>
        <v/>
      </c>
      <c r="J470" s="12">
        <f>IF(A470="","",MONTH(A470))</f>
        <v/>
      </c>
    </row>
    <row r="471">
      <c r="A471" s="18" t="n"/>
      <c r="B471" s="15" t="n"/>
      <c r="C471" s="15" t="n"/>
      <c r="D471" s="15" t="n"/>
      <c r="E471" s="15" t="n"/>
      <c r="F471" s="15" t="n"/>
      <c r="G471" s="17" t="n"/>
      <c r="H471" s="17" t="n"/>
      <c r="I471" s="7">
        <f>IF(AND(G471="",H471=""),"",Paramètres!$B$5+SUM(G$5:G471)-SUM(H$5:H471))</f>
        <v/>
      </c>
      <c r="J471" s="12">
        <f>IF(A471="","",MONTH(A471))</f>
        <v/>
      </c>
    </row>
    <row r="472">
      <c r="A472" s="18" t="n"/>
      <c r="B472" s="15" t="n"/>
      <c r="C472" s="15" t="n"/>
      <c r="D472" s="15" t="n"/>
      <c r="E472" s="15" t="n"/>
      <c r="F472" s="15" t="n"/>
      <c r="G472" s="17" t="n"/>
      <c r="H472" s="17" t="n"/>
      <c r="I472" s="7">
        <f>IF(AND(G472="",H472=""),"",Paramètres!$B$5+SUM(G$5:G472)-SUM(H$5:H472))</f>
        <v/>
      </c>
      <c r="J472" s="12">
        <f>IF(A472="","",MONTH(A472))</f>
        <v/>
      </c>
    </row>
    <row r="473">
      <c r="A473" s="18" t="n"/>
      <c r="B473" s="15" t="n"/>
      <c r="C473" s="15" t="n"/>
      <c r="D473" s="15" t="n"/>
      <c r="E473" s="15" t="n"/>
      <c r="F473" s="15" t="n"/>
      <c r="G473" s="17" t="n"/>
      <c r="H473" s="17" t="n"/>
      <c r="I473" s="7">
        <f>IF(AND(G473="",H473=""),"",Paramètres!$B$5+SUM(G$5:G473)-SUM(H$5:H473))</f>
        <v/>
      </c>
      <c r="J473" s="12">
        <f>IF(A473="","",MONTH(A473))</f>
        <v/>
      </c>
    </row>
    <row r="474">
      <c r="A474" s="18" t="n"/>
      <c r="B474" s="15" t="n"/>
      <c r="C474" s="15" t="n"/>
      <c r="D474" s="15" t="n"/>
      <c r="E474" s="15" t="n"/>
      <c r="F474" s="15" t="n"/>
      <c r="G474" s="17" t="n"/>
      <c r="H474" s="17" t="n"/>
      <c r="I474" s="7">
        <f>IF(AND(G474="",H474=""),"",Paramètres!$B$5+SUM(G$5:G474)-SUM(H$5:H474))</f>
        <v/>
      </c>
      <c r="J474" s="12">
        <f>IF(A474="","",MONTH(A474))</f>
        <v/>
      </c>
    </row>
    <row r="475">
      <c r="A475" s="18" t="n"/>
      <c r="B475" s="15" t="n"/>
      <c r="C475" s="15" t="n"/>
      <c r="D475" s="15" t="n"/>
      <c r="E475" s="15" t="n"/>
      <c r="F475" s="15" t="n"/>
      <c r="G475" s="17" t="n"/>
      <c r="H475" s="17" t="n"/>
      <c r="I475" s="7">
        <f>IF(AND(G475="",H475=""),"",Paramètres!$B$5+SUM(G$5:G475)-SUM(H$5:H475))</f>
        <v/>
      </c>
      <c r="J475" s="12">
        <f>IF(A475="","",MONTH(A475))</f>
        <v/>
      </c>
    </row>
    <row r="476">
      <c r="A476" s="18" t="n"/>
      <c r="B476" s="15" t="n"/>
      <c r="C476" s="15" t="n"/>
      <c r="D476" s="15" t="n"/>
      <c r="E476" s="15" t="n"/>
      <c r="F476" s="15" t="n"/>
      <c r="G476" s="17" t="n"/>
      <c r="H476" s="17" t="n"/>
      <c r="I476" s="7">
        <f>IF(AND(G476="",H476=""),"",Paramètres!$B$5+SUM(G$5:G476)-SUM(H$5:H476))</f>
        <v/>
      </c>
      <c r="J476" s="12">
        <f>IF(A476="","",MONTH(A476))</f>
        <v/>
      </c>
    </row>
    <row r="477">
      <c r="A477" s="18" t="n"/>
      <c r="B477" s="15" t="n"/>
      <c r="C477" s="15" t="n"/>
      <c r="D477" s="15" t="n"/>
      <c r="E477" s="15" t="n"/>
      <c r="F477" s="15" t="n"/>
      <c r="G477" s="17" t="n"/>
      <c r="H477" s="17" t="n"/>
      <c r="I477" s="7">
        <f>IF(AND(G477="",H477=""),"",Paramètres!$B$5+SUM(G$5:G477)-SUM(H$5:H477))</f>
        <v/>
      </c>
      <c r="J477" s="12">
        <f>IF(A477="","",MONTH(A477))</f>
        <v/>
      </c>
    </row>
    <row r="478">
      <c r="A478" s="18" t="n"/>
      <c r="B478" s="15" t="n"/>
      <c r="C478" s="15" t="n"/>
      <c r="D478" s="15" t="n"/>
      <c r="E478" s="15" t="n"/>
      <c r="F478" s="15" t="n"/>
      <c r="G478" s="17" t="n"/>
      <c r="H478" s="17" t="n"/>
      <c r="I478" s="7">
        <f>IF(AND(G478="",H478=""),"",Paramètres!$B$5+SUM(G$5:G478)-SUM(H$5:H478))</f>
        <v/>
      </c>
      <c r="J478" s="12">
        <f>IF(A478="","",MONTH(A478))</f>
        <v/>
      </c>
    </row>
    <row r="479">
      <c r="A479" s="18" t="n"/>
      <c r="B479" s="15" t="n"/>
      <c r="C479" s="15" t="n"/>
      <c r="D479" s="15" t="n"/>
      <c r="E479" s="15" t="n"/>
      <c r="F479" s="15" t="n"/>
      <c r="G479" s="17" t="n"/>
      <c r="H479" s="17" t="n"/>
      <c r="I479" s="7">
        <f>IF(AND(G479="",H479=""),"",Paramètres!$B$5+SUM(G$5:G479)-SUM(H$5:H479))</f>
        <v/>
      </c>
      <c r="J479" s="12">
        <f>IF(A479="","",MONTH(A479))</f>
        <v/>
      </c>
    </row>
    <row r="480">
      <c r="A480" s="18" t="n"/>
      <c r="B480" s="15" t="n"/>
      <c r="C480" s="15" t="n"/>
      <c r="D480" s="15" t="n"/>
      <c r="E480" s="15" t="n"/>
      <c r="F480" s="15" t="n"/>
      <c r="G480" s="17" t="n"/>
      <c r="H480" s="17" t="n"/>
      <c r="I480" s="7">
        <f>IF(AND(G480="",H480=""),"",Paramètres!$B$5+SUM(G$5:G480)-SUM(H$5:H480))</f>
        <v/>
      </c>
      <c r="J480" s="12">
        <f>IF(A480="","",MONTH(A480))</f>
        <v/>
      </c>
    </row>
    <row r="481">
      <c r="A481" s="18" t="n"/>
      <c r="B481" s="15" t="n"/>
      <c r="C481" s="15" t="n"/>
      <c r="D481" s="15" t="n"/>
      <c r="E481" s="15" t="n"/>
      <c r="F481" s="15" t="n"/>
      <c r="G481" s="17" t="n"/>
      <c r="H481" s="17" t="n"/>
      <c r="I481" s="7">
        <f>IF(AND(G481="",H481=""),"",Paramètres!$B$5+SUM(G$5:G481)-SUM(H$5:H481))</f>
        <v/>
      </c>
      <c r="J481" s="12">
        <f>IF(A481="","",MONTH(A481))</f>
        <v/>
      </c>
    </row>
    <row r="482">
      <c r="A482" s="18" t="n"/>
      <c r="B482" s="15" t="n"/>
      <c r="C482" s="15" t="n"/>
      <c r="D482" s="15" t="n"/>
      <c r="E482" s="15" t="n"/>
      <c r="F482" s="15" t="n"/>
      <c r="G482" s="17" t="n"/>
      <c r="H482" s="17" t="n"/>
      <c r="I482" s="7">
        <f>IF(AND(G482="",H482=""),"",Paramètres!$B$5+SUM(G$5:G482)-SUM(H$5:H482))</f>
        <v/>
      </c>
      <c r="J482" s="12">
        <f>IF(A482="","",MONTH(A482))</f>
        <v/>
      </c>
    </row>
    <row r="483">
      <c r="A483" s="18" t="n"/>
      <c r="B483" s="15" t="n"/>
      <c r="C483" s="15" t="n"/>
      <c r="D483" s="15" t="n"/>
      <c r="E483" s="15" t="n"/>
      <c r="F483" s="15" t="n"/>
      <c r="G483" s="17" t="n"/>
      <c r="H483" s="17" t="n"/>
      <c r="I483" s="7">
        <f>IF(AND(G483="",H483=""),"",Paramètres!$B$5+SUM(G$5:G483)-SUM(H$5:H483))</f>
        <v/>
      </c>
      <c r="J483" s="12">
        <f>IF(A483="","",MONTH(A483))</f>
        <v/>
      </c>
    </row>
    <row r="484">
      <c r="A484" s="18" t="n"/>
      <c r="B484" s="15" t="n"/>
      <c r="C484" s="15" t="n"/>
      <c r="D484" s="15" t="n"/>
      <c r="E484" s="15" t="n"/>
      <c r="F484" s="15" t="n"/>
      <c r="G484" s="17" t="n"/>
      <c r="H484" s="17" t="n"/>
      <c r="I484" s="7">
        <f>IF(AND(G484="",H484=""),"",Paramètres!$B$5+SUM(G$5:G484)-SUM(H$5:H484))</f>
        <v/>
      </c>
      <c r="J484" s="12">
        <f>IF(A484="","",MONTH(A484))</f>
        <v/>
      </c>
    </row>
    <row r="485">
      <c r="A485" s="18" t="n"/>
      <c r="B485" s="15" t="n"/>
      <c r="C485" s="15" t="n"/>
      <c r="D485" s="15" t="n"/>
      <c r="E485" s="15" t="n"/>
      <c r="F485" s="15" t="n"/>
      <c r="G485" s="17" t="n"/>
      <c r="H485" s="17" t="n"/>
      <c r="I485" s="7">
        <f>IF(AND(G485="",H485=""),"",Paramètres!$B$5+SUM(G$5:G485)-SUM(H$5:H485))</f>
        <v/>
      </c>
      <c r="J485" s="12">
        <f>IF(A485="","",MONTH(A485))</f>
        <v/>
      </c>
    </row>
    <row r="486">
      <c r="A486" s="18" t="n"/>
      <c r="B486" s="15" t="n"/>
      <c r="C486" s="15" t="n"/>
      <c r="D486" s="15" t="n"/>
      <c r="E486" s="15" t="n"/>
      <c r="F486" s="15" t="n"/>
      <c r="G486" s="17" t="n"/>
      <c r="H486" s="17" t="n"/>
      <c r="I486" s="7">
        <f>IF(AND(G486="",H486=""),"",Paramètres!$B$5+SUM(G$5:G486)-SUM(H$5:H486))</f>
        <v/>
      </c>
      <c r="J486" s="12">
        <f>IF(A486="","",MONTH(A486))</f>
        <v/>
      </c>
    </row>
    <row r="487">
      <c r="A487" s="18" t="n"/>
      <c r="B487" s="15" t="n"/>
      <c r="C487" s="15" t="n"/>
      <c r="D487" s="15" t="n"/>
      <c r="E487" s="15" t="n"/>
      <c r="F487" s="15" t="n"/>
      <c r="G487" s="17" t="n"/>
      <c r="H487" s="17" t="n"/>
      <c r="I487" s="7">
        <f>IF(AND(G487="",H487=""),"",Paramètres!$B$5+SUM(G$5:G487)-SUM(H$5:H487))</f>
        <v/>
      </c>
      <c r="J487" s="12">
        <f>IF(A487="","",MONTH(A487))</f>
        <v/>
      </c>
    </row>
    <row r="488">
      <c r="A488" s="18" t="n"/>
      <c r="B488" s="15" t="n"/>
      <c r="C488" s="15" t="n"/>
      <c r="D488" s="15" t="n"/>
      <c r="E488" s="15" t="n"/>
      <c r="F488" s="15" t="n"/>
      <c r="G488" s="17" t="n"/>
      <c r="H488" s="17" t="n"/>
      <c r="I488" s="7">
        <f>IF(AND(G488="",H488=""),"",Paramètres!$B$5+SUM(G$5:G488)-SUM(H$5:H488))</f>
        <v/>
      </c>
      <c r="J488" s="12">
        <f>IF(A488="","",MONTH(A488))</f>
        <v/>
      </c>
    </row>
    <row r="489">
      <c r="A489" s="18" t="n"/>
      <c r="B489" s="15" t="n"/>
      <c r="C489" s="15" t="n"/>
      <c r="D489" s="15" t="n"/>
      <c r="E489" s="15" t="n"/>
      <c r="F489" s="15" t="n"/>
      <c r="G489" s="17" t="n"/>
      <c r="H489" s="17" t="n"/>
      <c r="I489" s="7">
        <f>IF(AND(G489="",H489=""),"",Paramètres!$B$5+SUM(G$5:G489)-SUM(H$5:H489))</f>
        <v/>
      </c>
      <c r="J489" s="12">
        <f>IF(A489="","",MONTH(A489))</f>
        <v/>
      </c>
    </row>
    <row r="490">
      <c r="A490" s="18" t="n"/>
      <c r="B490" s="15" t="n"/>
      <c r="C490" s="15" t="n"/>
      <c r="D490" s="15" t="n"/>
      <c r="E490" s="15" t="n"/>
      <c r="F490" s="15" t="n"/>
      <c r="G490" s="17" t="n"/>
      <c r="H490" s="17" t="n"/>
      <c r="I490" s="7">
        <f>IF(AND(G490="",H490=""),"",Paramètres!$B$5+SUM(G$5:G490)-SUM(H$5:H490))</f>
        <v/>
      </c>
      <c r="J490" s="12">
        <f>IF(A490="","",MONTH(A490))</f>
        <v/>
      </c>
    </row>
    <row r="491">
      <c r="A491" s="18" t="n"/>
      <c r="B491" s="15" t="n"/>
      <c r="C491" s="15" t="n"/>
      <c r="D491" s="15" t="n"/>
      <c r="E491" s="15" t="n"/>
      <c r="F491" s="15" t="n"/>
      <c r="G491" s="17" t="n"/>
      <c r="H491" s="17" t="n"/>
      <c r="I491" s="7">
        <f>IF(AND(G491="",H491=""),"",Paramètres!$B$5+SUM(G$5:G491)-SUM(H$5:H491))</f>
        <v/>
      </c>
      <c r="J491" s="12">
        <f>IF(A491="","",MONTH(A491))</f>
        <v/>
      </c>
    </row>
    <row r="492">
      <c r="A492" s="18" t="n"/>
      <c r="B492" s="15" t="n"/>
      <c r="C492" s="15" t="n"/>
      <c r="D492" s="15" t="n"/>
      <c r="E492" s="15" t="n"/>
      <c r="F492" s="15" t="n"/>
      <c r="G492" s="17" t="n"/>
      <c r="H492" s="17" t="n"/>
      <c r="I492" s="7">
        <f>IF(AND(G492="",H492=""),"",Paramètres!$B$5+SUM(G$5:G492)-SUM(H$5:H492))</f>
        <v/>
      </c>
      <c r="J492" s="12">
        <f>IF(A492="","",MONTH(A492))</f>
        <v/>
      </c>
    </row>
    <row r="493">
      <c r="A493" s="18" t="n"/>
      <c r="B493" s="15" t="n"/>
      <c r="C493" s="15" t="n"/>
      <c r="D493" s="15" t="n"/>
      <c r="E493" s="15" t="n"/>
      <c r="F493" s="15" t="n"/>
      <c r="G493" s="17" t="n"/>
      <c r="H493" s="17" t="n"/>
      <c r="I493" s="7">
        <f>IF(AND(G493="",H493=""),"",Paramètres!$B$5+SUM(G$5:G493)-SUM(H$5:H493))</f>
        <v/>
      </c>
      <c r="J493" s="12">
        <f>IF(A493="","",MONTH(A493))</f>
        <v/>
      </c>
    </row>
    <row r="494">
      <c r="A494" s="18" t="n"/>
      <c r="B494" s="15" t="n"/>
      <c r="C494" s="15" t="n"/>
      <c r="D494" s="15" t="n"/>
      <c r="E494" s="15" t="n"/>
      <c r="F494" s="15" t="n"/>
      <c r="G494" s="17" t="n"/>
      <c r="H494" s="17" t="n"/>
      <c r="I494" s="7">
        <f>IF(AND(G494="",H494=""),"",Paramètres!$B$5+SUM(G$5:G494)-SUM(H$5:H494))</f>
        <v/>
      </c>
      <c r="J494" s="12">
        <f>IF(A494="","",MONTH(A494))</f>
        <v/>
      </c>
    </row>
    <row r="495">
      <c r="A495" s="18" t="n"/>
      <c r="B495" s="15" t="n"/>
      <c r="C495" s="15" t="n"/>
      <c r="D495" s="15" t="n"/>
      <c r="E495" s="15" t="n"/>
      <c r="F495" s="15" t="n"/>
      <c r="G495" s="17" t="n"/>
      <c r="H495" s="17" t="n"/>
      <c r="I495" s="7">
        <f>IF(AND(G495="",H495=""),"",Paramètres!$B$5+SUM(G$5:G495)-SUM(H$5:H495))</f>
        <v/>
      </c>
      <c r="J495" s="12">
        <f>IF(A495="","",MONTH(A495))</f>
        <v/>
      </c>
    </row>
    <row r="496">
      <c r="A496" s="18" t="n"/>
      <c r="B496" s="15" t="n"/>
      <c r="C496" s="15" t="n"/>
      <c r="D496" s="15" t="n"/>
      <c r="E496" s="15" t="n"/>
      <c r="F496" s="15" t="n"/>
      <c r="G496" s="17" t="n"/>
      <c r="H496" s="17" t="n"/>
      <c r="I496" s="7">
        <f>IF(AND(G496="",H496=""),"",Paramètres!$B$5+SUM(G$5:G496)-SUM(H$5:H496))</f>
        <v/>
      </c>
      <c r="J496" s="12">
        <f>IF(A496="","",MONTH(A496))</f>
        <v/>
      </c>
    </row>
    <row r="497">
      <c r="A497" s="18" t="n"/>
      <c r="B497" s="15" t="n"/>
      <c r="C497" s="15" t="n"/>
      <c r="D497" s="15" t="n"/>
      <c r="E497" s="15" t="n"/>
      <c r="F497" s="15" t="n"/>
      <c r="G497" s="17" t="n"/>
      <c r="H497" s="17" t="n"/>
      <c r="I497" s="7">
        <f>IF(AND(G497="",H497=""),"",Paramètres!$B$5+SUM(G$5:G497)-SUM(H$5:H497))</f>
        <v/>
      </c>
      <c r="J497" s="12">
        <f>IF(A497="","",MONTH(A497))</f>
        <v/>
      </c>
    </row>
    <row r="498">
      <c r="A498" s="18" t="n"/>
      <c r="B498" s="15" t="n"/>
      <c r="C498" s="15" t="n"/>
      <c r="D498" s="15" t="n"/>
      <c r="E498" s="15" t="n"/>
      <c r="F498" s="15" t="n"/>
      <c r="G498" s="17" t="n"/>
      <c r="H498" s="17" t="n"/>
      <c r="I498" s="7">
        <f>IF(AND(G498="",H498=""),"",Paramètres!$B$5+SUM(G$5:G498)-SUM(H$5:H498))</f>
        <v/>
      </c>
      <c r="J498" s="12">
        <f>IF(A498="","",MONTH(A498))</f>
        <v/>
      </c>
    </row>
    <row r="499">
      <c r="A499" s="18" t="n"/>
      <c r="B499" s="15" t="n"/>
      <c r="C499" s="15" t="n"/>
      <c r="D499" s="15" t="n"/>
      <c r="E499" s="15" t="n"/>
      <c r="F499" s="15" t="n"/>
      <c r="G499" s="17" t="n"/>
      <c r="H499" s="17" t="n"/>
      <c r="I499" s="7">
        <f>IF(AND(G499="",H499=""),"",Paramètres!$B$5+SUM(G$5:G499)-SUM(H$5:H499))</f>
        <v/>
      </c>
      <c r="J499" s="12">
        <f>IF(A499="","",MONTH(A499))</f>
        <v/>
      </c>
    </row>
    <row r="500">
      <c r="A500" s="18" t="n"/>
      <c r="B500" s="15" t="n"/>
      <c r="C500" s="15" t="n"/>
      <c r="D500" s="15" t="n"/>
      <c r="E500" s="15" t="n"/>
      <c r="F500" s="15" t="n"/>
      <c r="G500" s="17" t="n"/>
      <c r="H500" s="17" t="n"/>
      <c r="I500" s="7">
        <f>IF(AND(G500="",H500=""),"",Paramètres!$B$5+SUM(G$5:G500)-SUM(H$5:H500))</f>
        <v/>
      </c>
      <c r="J500" s="12">
        <f>IF(A500="","",MONTH(A500))</f>
        <v/>
      </c>
    </row>
    <row r="501">
      <c r="A501" s="18" t="n"/>
      <c r="B501" s="15" t="n"/>
      <c r="C501" s="15" t="n"/>
      <c r="D501" s="15" t="n"/>
      <c r="E501" s="15" t="n"/>
      <c r="F501" s="15" t="n"/>
      <c r="G501" s="17" t="n"/>
      <c r="H501" s="17" t="n"/>
      <c r="I501" s="7">
        <f>IF(AND(G501="",H501=""),"",Paramètres!$B$5+SUM(G$5:G501)-SUM(H$5:H501))</f>
        <v/>
      </c>
      <c r="J501" s="12">
        <f>IF(A501="","",MONTH(A501))</f>
        <v/>
      </c>
    </row>
    <row r="502">
      <c r="A502" s="18" t="n"/>
      <c r="B502" s="15" t="n"/>
      <c r="C502" s="15" t="n"/>
      <c r="D502" s="15" t="n"/>
      <c r="E502" s="15" t="n"/>
      <c r="F502" s="15" t="n"/>
      <c r="G502" s="17" t="n"/>
      <c r="H502" s="17" t="n"/>
      <c r="I502" s="7">
        <f>IF(AND(G502="",H502=""),"",Paramètres!$B$5+SUM(G$5:G502)-SUM(H$5:H502))</f>
        <v/>
      </c>
      <c r="J502" s="12">
        <f>IF(A502="","",MONTH(A502))</f>
        <v/>
      </c>
    </row>
    <row r="503">
      <c r="A503" s="18" t="n"/>
      <c r="B503" s="15" t="n"/>
      <c r="C503" s="15" t="n"/>
      <c r="D503" s="15" t="n"/>
      <c r="E503" s="15" t="n"/>
      <c r="F503" s="15" t="n"/>
      <c r="G503" s="17" t="n"/>
      <c r="H503" s="17" t="n"/>
      <c r="I503" s="7">
        <f>IF(AND(G503="",H503=""),"",Paramètres!$B$5+SUM(G$5:G503)-SUM(H$5:H503))</f>
        <v/>
      </c>
      <c r="J503" s="12">
        <f>IF(A503="","",MONTH(A503))</f>
        <v/>
      </c>
    </row>
    <row r="504">
      <c r="A504" s="18" t="n"/>
      <c r="B504" s="15" t="n"/>
      <c r="C504" s="15" t="n"/>
      <c r="D504" s="15" t="n"/>
      <c r="E504" s="15" t="n"/>
      <c r="F504" s="15" t="n"/>
      <c r="G504" s="17" t="n"/>
      <c r="H504" s="17" t="n"/>
      <c r="I504" s="7">
        <f>IF(AND(G504="",H504=""),"",Paramètres!$B$5+SUM(G$5:G504)-SUM(H$5:H504))</f>
        <v/>
      </c>
      <c r="J504" s="12">
        <f>IF(A504="","",MONTH(A504))</f>
        <v/>
      </c>
    </row>
    <row r="505">
      <c r="A505" s="18" t="n"/>
      <c r="B505" s="15" t="n"/>
      <c r="C505" s="15" t="n"/>
      <c r="D505" s="15" t="n"/>
      <c r="E505" s="15" t="n"/>
      <c r="F505" s="15" t="n"/>
      <c r="G505" s="17" t="n"/>
      <c r="H505" s="17" t="n"/>
      <c r="I505" s="7">
        <f>IF(AND(G505="",H505=""),"",Paramètres!$B$5+SUM(G$5:G505)-SUM(H$5:H505))</f>
        <v/>
      </c>
      <c r="J505" s="12">
        <f>IF(A505="","",MONTH(A505))</f>
        <v/>
      </c>
    </row>
    <row r="506">
      <c r="A506" s="18" t="n"/>
      <c r="B506" s="15" t="n"/>
      <c r="C506" s="15" t="n"/>
      <c r="D506" s="15" t="n"/>
      <c r="E506" s="15" t="n"/>
      <c r="F506" s="15" t="n"/>
      <c r="G506" s="17" t="n"/>
      <c r="H506" s="17" t="n"/>
      <c r="I506" s="7">
        <f>IF(AND(G506="",H506=""),"",Paramètres!$B$5+SUM(G$5:G506)-SUM(H$5:H506))</f>
        <v/>
      </c>
      <c r="J506" s="12">
        <f>IF(A506="","",MONTH(A506))</f>
        <v/>
      </c>
    </row>
    <row r="507">
      <c r="A507" s="18" t="n"/>
      <c r="B507" s="15" t="n"/>
      <c r="C507" s="15" t="n"/>
      <c r="D507" s="15" t="n"/>
      <c r="E507" s="15" t="n"/>
      <c r="F507" s="15" t="n"/>
      <c r="G507" s="17" t="n"/>
      <c r="H507" s="17" t="n"/>
      <c r="I507" s="7">
        <f>IF(AND(G507="",H507=""),"",Paramètres!$B$5+SUM(G$5:G507)-SUM(H$5:H507))</f>
        <v/>
      </c>
      <c r="J507" s="12">
        <f>IF(A507="","",MONTH(A507))</f>
        <v/>
      </c>
    </row>
    <row r="508">
      <c r="A508" s="18" t="n"/>
      <c r="B508" s="15" t="n"/>
      <c r="C508" s="15" t="n"/>
      <c r="D508" s="15" t="n"/>
      <c r="E508" s="15" t="n"/>
      <c r="F508" s="15" t="n"/>
      <c r="G508" s="17" t="n"/>
      <c r="H508" s="17" t="n"/>
      <c r="I508" s="7">
        <f>IF(AND(G508="",H508=""),"",Paramètres!$B$5+SUM(G$5:G508)-SUM(H$5:H508))</f>
        <v/>
      </c>
      <c r="J508" s="12">
        <f>IF(A508="","",MONTH(A508))</f>
        <v/>
      </c>
    </row>
    <row r="509">
      <c r="A509" s="18" t="n"/>
      <c r="B509" s="15" t="n"/>
      <c r="C509" s="15" t="n"/>
      <c r="D509" s="15" t="n"/>
      <c r="E509" s="15" t="n"/>
      <c r="F509" s="15" t="n"/>
      <c r="G509" s="17" t="n"/>
      <c r="H509" s="17" t="n"/>
      <c r="I509" s="7">
        <f>IF(AND(G509="",H509=""),"",Paramètres!$B$5+SUM(G$5:G509)-SUM(H$5:H509))</f>
        <v/>
      </c>
      <c r="J509" s="12">
        <f>IF(A509="","",MONTH(A509))</f>
        <v/>
      </c>
    </row>
    <row r="510">
      <c r="A510" s="18" t="n"/>
      <c r="B510" s="15" t="n"/>
      <c r="C510" s="15" t="n"/>
      <c r="D510" s="15" t="n"/>
      <c r="E510" s="15" t="n"/>
      <c r="F510" s="15" t="n"/>
      <c r="G510" s="17" t="n"/>
      <c r="H510" s="17" t="n"/>
      <c r="I510" s="7">
        <f>IF(AND(G510="",H510=""),"",Paramètres!$B$5+SUM(G$5:G510)-SUM(H$5:H510))</f>
        <v/>
      </c>
      <c r="J510" s="12">
        <f>IF(A510="","",MONTH(A510))</f>
        <v/>
      </c>
    </row>
    <row r="511">
      <c r="A511" s="18" t="n"/>
      <c r="B511" s="15" t="n"/>
      <c r="C511" s="15" t="n"/>
      <c r="D511" s="15" t="n"/>
      <c r="E511" s="15" t="n"/>
      <c r="F511" s="15" t="n"/>
      <c r="G511" s="17" t="n"/>
      <c r="H511" s="17" t="n"/>
      <c r="I511" s="7">
        <f>IF(AND(G511="",H511=""),"",Paramètres!$B$5+SUM(G$5:G511)-SUM(H$5:H511))</f>
        <v/>
      </c>
      <c r="J511" s="12">
        <f>IF(A511="","",MONTH(A511))</f>
        <v/>
      </c>
    </row>
    <row r="512">
      <c r="A512" s="18" t="n"/>
      <c r="B512" s="15" t="n"/>
      <c r="C512" s="15" t="n"/>
      <c r="D512" s="15" t="n"/>
      <c r="E512" s="15" t="n"/>
      <c r="F512" s="15" t="n"/>
      <c r="G512" s="17" t="n"/>
      <c r="H512" s="17" t="n"/>
      <c r="I512" s="7">
        <f>IF(AND(G512="",H512=""),"",Paramètres!$B$5+SUM(G$5:G512)-SUM(H$5:H512))</f>
        <v/>
      </c>
      <c r="J512" s="12">
        <f>IF(A512="","",MONTH(A512))</f>
        <v/>
      </c>
    </row>
    <row r="513">
      <c r="A513" s="18" t="n"/>
      <c r="B513" s="15" t="n"/>
      <c r="C513" s="15" t="n"/>
      <c r="D513" s="15" t="n"/>
      <c r="E513" s="15" t="n"/>
      <c r="F513" s="15" t="n"/>
      <c r="G513" s="17" t="n"/>
      <c r="H513" s="17" t="n"/>
      <c r="I513" s="7">
        <f>IF(AND(G513="",H513=""),"",Paramètres!$B$5+SUM(G$5:G513)-SUM(H$5:H513))</f>
        <v/>
      </c>
      <c r="J513" s="12">
        <f>IF(A513="","",MONTH(A513))</f>
        <v/>
      </c>
    </row>
    <row r="514">
      <c r="A514" s="18" t="n"/>
      <c r="B514" s="15" t="n"/>
      <c r="C514" s="15" t="n"/>
      <c r="D514" s="15" t="n"/>
      <c r="E514" s="15" t="n"/>
      <c r="F514" s="15" t="n"/>
      <c r="G514" s="17" t="n"/>
      <c r="H514" s="17" t="n"/>
      <c r="I514" s="7">
        <f>IF(AND(G514="",H514=""),"",Paramètres!$B$5+SUM(G$5:G514)-SUM(H$5:H514))</f>
        <v/>
      </c>
      <c r="J514" s="12">
        <f>IF(A514="","",MONTH(A514))</f>
        <v/>
      </c>
    </row>
    <row r="515">
      <c r="A515" s="18" t="n"/>
      <c r="B515" s="15" t="n"/>
      <c r="C515" s="15" t="n"/>
      <c r="D515" s="15" t="n"/>
      <c r="E515" s="15" t="n"/>
      <c r="F515" s="15" t="n"/>
      <c r="G515" s="17" t="n"/>
      <c r="H515" s="17" t="n"/>
      <c r="I515" s="7">
        <f>IF(AND(G515="",H515=""),"",Paramètres!$B$5+SUM(G$5:G515)-SUM(H$5:H515))</f>
        <v/>
      </c>
      <c r="J515" s="12">
        <f>IF(A515="","",MONTH(A515))</f>
        <v/>
      </c>
    </row>
    <row r="516">
      <c r="A516" s="18" t="n"/>
      <c r="B516" s="15" t="n"/>
      <c r="C516" s="15" t="n"/>
      <c r="D516" s="15" t="n"/>
      <c r="E516" s="15" t="n"/>
      <c r="F516" s="15" t="n"/>
      <c r="G516" s="17" t="n"/>
      <c r="H516" s="17" t="n"/>
      <c r="I516" s="7">
        <f>IF(AND(G516="",H516=""),"",Paramètres!$B$5+SUM(G$5:G516)-SUM(H$5:H516))</f>
        <v/>
      </c>
      <c r="J516" s="12">
        <f>IF(A516="","",MONTH(A516))</f>
        <v/>
      </c>
    </row>
    <row r="517">
      <c r="A517" s="18" t="n"/>
      <c r="B517" s="15" t="n"/>
      <c r="C517" s="15" t="n"/>
      <c r="D517" s="15" t="n"/>
      <c r="E517" s="15" t="n"/>
      <c r="F517" s="15" t="n"/>
      <c r="G517" s="17" t="n"/>
      <c r="H517" s="17" t="n"/>
      <c r="I517" s="7">
        <f>IF(AND(G517="",H517=""),"",Paramètres!$B$5+SUM(G$5:G517)-SUM(H$5:H517))</f>
        <v/>
      </c>
      <c r="J517" s="12">
        <f>IF(A517="","",MONTH(A517))</f>
        <v/>
      </c>
    </row>
    <row r="518">
      <c r="A518" s="18" t="n"/>
      <c r="B518" s="15" t="n"/>
      <c r="C518" s="15" t="n"/>
      <c r="D518" s="15" t="n"/>
      <c r="E518" s="15" t="n"/>
      <c r="F518" s="15" t="n"/>
      <c r="G518" s="17" t="n"/>
      <c r="H518" s="17" t="n"/>
      <c r="I518" s="7">
        <f>IF(AND(G518="",H518=""),"",Paramètres!$B$5+SUM(G$5:G518)-SUM(H$5:H518))</f>
        <v/>
      </c>
      <c r="J518" s="12">
        <f>IF(A518="","",MONTH(A518))</f>
        <v/>
      </c>
    </row>
    <row r="519">
      <c r="A519" s="18" t="n"/>
      <c r="B519" s="15" t="n"/>
      <c r="C519" s="15" t="n"/>
      <c r="D519" s="15" t="n"/>
      <c r="E519" s="15" t="n"/>
      <c r="F519" s="15" t="n"/>
      <c r="G519" s="17" t="n"/>
      <c r="H519" s="17" t="n"/>
      <c r="I519" s="7">
        <f>IF(AND(G519="",H519=""),"",Paramètres!$B$5+SUM(G$5:G519)-SUM(H$5:H519))</f>
        <v/>
      </c>
      <c r="J519" s="12">
        <f>IF(A519="","",MONTH(A519))</f>
        <v/>
      </c>
    </row>
    <row r="520">
      <c r="A520" s="18" t="n"/>
      <c r="B520" s="15" t="n"/>
      <c r="C520" s="15" t="n"/>
      <c r="D520" s="15" t="n"/>
      <c r="E520" s="15" t="n"/>
      <c r="F520" s="15" t="n"/>
      <c r="G520" s="17" t="n"/>
      <c r="H520" s="17" t="n"/>
      <c r="I520" s="7">
        <f>IF(AND(G520="",H520=""),"",Paramètres!$B$5+SUM(G$5:G520)-SUM(H$5:H520))</f>
        <v/>
      </c>
      <c r="J520" s="12">
        <f>IF(A520="","",MONTH(A520))</f>
        <v/>
      </c>
    </row>
    <row r="521">
      <c r="A521" s="18" t="n"/>
      <c r="B521" s="15" t="n"/>
      <c r="C521" s="15" t="n"/>
      <c r="D521" s="15" t="n"/>
      <c r="E521" s="15" t="n"/>
      <c r="F521" s="15" t="n"/>
      <c r="G521" s="17" t="n"/>
      <c r="H521" s="17" t="n"/>
      <c r="I521" s="7">
        <f>IF(AND(G521="",H521=""),"",Paramètres!$B$5+SUM(G$5:G521)-SUM(H$5:H521))</f>
        <v/>
      </c>
      <c r="J521" s="12">
        <f>IF(A521="","",MONTH(A521))</f>
        <v/>
      </c>
    </row>
    <row r="522">
      <c r="A522" s="18" t="n"/>
      <c r="B522" s="15" t="n"/>
      <c r="C522" s="15" t="n"/>
      <c r="D522" s="15" t="n"/>
      <c r="E522" s="15" t="n"/>
      <c r="F522" s="15" t="n"/>
      <c r="G522" s="17" t="n"/>
      <c r="H522" s="17" t="n"/>
      <c r="I522" s="7">
        <f>IF(AND(G522="",H522=""),"",Paramètres!$B$5+SUM(G$5:G522)-SUM(H$5:H522))</f>
        <v/>
      </c>
      <c r="J522" s="12">
        <f>IF(A522="","",MONTH(A522))</f>
        <v/>
      </c>
    </row>
    <row r="523">
      <c r="A523" s="18" t="n"/>
      <c r="B523" s="15" t="n"/>
      <c r="C523" s="15" t="n"/>
      <c r="D523" s="15" t="n"/>
      <c r="E523" s="15" t="n"/>
      <c r="F523" s="15" t="n"/>
      <c r="G523" s="17" t="n"/>
      <c r="H523" s="17" t="n"/>
      <c r="I523" s="7">
        <f>IF(AND(G523="",H523=""),"",Paramètres!$B$5+SUM(G$5:G523)-SUM(H$5:H523))</f>
        <v/>
      </c>
      <c r="J523" s="12">
        <f>IF(A523="","",MONTH(A523))</f>
        <v/>
      </c>
    </row>
    <row r="524">
      <c r="A524" s="18" t="n"/>
      <c r="B524" s="15" t="n"/>
      <c r="C524" s="15" t="n"/>
      <c r="D524" s="15" t="n"/>
      <c r="E524" s="15" t="n"/>
      <c r="F524" s="15" t="n"/>
      <c r="G524" s="17" t="n"/>
      <c r="H524" s="17" t="n"/>
      <c r="I524" s="7">
        <f>IF(AND(G524="",H524=""),"",Paramètres!$B$5+SUM(G$5:G524)-SUM(H$5:H524))</f>
        <v/>
      </c>
      <c r="J524" s="12">
        <f>IF(A524="","",MONTH(A524))</f>
        <v/>
      </c>
    </row>
    <row r="525">
      <c r="A525" s="18" t="n"/>
      <c r="B525" s="15" t="n"/>
      <c r="C525" s="15" t="n"/>
      <c r="D525" s="15" t="n"/>
      <c r="E525" s="15" t="n"/>
      <c r="F525" s="15" t="n"/>
      <c r="G525" s="17" t="n"/>
      <c r="H525" s="17" t="n"/>
      <c r="I525" s="7">
        <f>IF(AND(G525="",H525=""),"",Paramètres!$B$5+SUM(G$5:G525)-SUM(H$5:H525))</f>
        <v/>
      </c>
      <c r="J525" s="12">
        <f>IF(A525="","",MONTH(A525))</f>
        <v/>
      </c>
    </row>
    <row r="526">
      <c r="A526" s="18" t="n"/>
      <c r="B526" s="15" t="n"/>
      <c r="C526" s="15" t="n"/>
      <c r="D526" s="15" t="n"/>
      <c r="E526" s="15" t="n"/>
      <c r="F526" s="15" t="n"/>
      <c r="G526" s="17" t="n"/>
      <c r="H526" s="17" t="n"/>
      <c r="I526" s="7">
        <f>IF(AND(G526="",H526=""),"",Paramètres!$B$5+SUM(G$5:G526)-SUM(H$5:H526))</f>
        <v/>
      </c>
      <c r="J526" s="12">
        <f>IF(A526="","",MONTH(A526))</f>
        <v/>
      </c>
    </row>
    <row r="527">
      <c r="A527" s="18" t="n"/>
      <c r="B527" s="15" t="n"/>
      <c r="C527" s="15" t="n"/>
      <c r="D527" s="15" t="n"/>
      <c r="E527" s="15" t="n"/>
      <c r="F527" s="15" t="n"/>
      <c r="G527" s="17" t="n"/>
      <c r="H527" s="17" t="n"/>
      <c r="I527" s="7">
        <f>IF(AND(G527="",H527=""),"",Paramètres!$B$5+SUM(G$5:G527)-SUM(H$5:H527))</f>
        <v/>
      </c>
      <c r="J527" s="12">
        <f>IF(A527="","",MONTH(A527))</f>
        <v/>
      </c>
    </row>
    <row r="528">
      <c r="A528" s="18" t="n"/>
      <c r="B528" s="15" t="n"/>
      <c r="C528" s="15" t="n"/>
      <c r="D528" s="15" t="n"/>
      <c r="E528" s="15" t="n"/>
      <c r="F528" s="15" t="n"/>
      <c r="G528" s="17" t="n"/>
      <c r="H528" s="17" t="n"/>
      <c r="I528" s="7">
        <f>IF(AND(G528="",H528=""),"",Paramètres!$B$5+SUM(G$5:G528)-SUM(H$5:H528))</f>
        <v/>
      </c>
      <c r="J528" s="12">
        <f>IF(A528="","",MONTH(A528))</f>
        <v/>
      </c>
    </row>
    <row r="529">
      <c r="A529" s="18" t="n"/>
      <c r="B529" s="15" t="n"/>
      <c r="C529" s="15" t="n"/>
      <c r="D529" s="15" t="n"/>
      <c r="E529" s="15" t="n"/>
      <c r="F529" s="15" t="n"/>
      <c r="G529" s="17" t="n"/>
      <c r="H529" s="17" t="n"/>
      <c r="I529" s="7">
        <f>IF(AND(G529="",H529=""),"",Paramètres!$B$5+SUM(G$5:G529)-SUM(H$5:H529))</f>
        <v/>
      </c>
      <c r="J529" s="12">
        <f>IF(A529="","",MONTH(A529))</f>
        <v/>
      </c>
    </row>
    <row r="530">
      <c r="A530" s="18" t="n"/>
      <c r="B530" s="15" t="n"/>
      <c r="C530" s="15" t="n"/>
      <c r="D530" s="15" t="n"/>
      <c r="E530" s="15" t="n"/>
      <c r="F530" s="15" t="n"/>
      <c r="G530" s="17" t="n"/>
      <c r="H530" s="17" t="n"/>
      <c r="I530" s="7">
        <f>IF(AND(G530="",H530=""),"",Paramètres!$B$5+SUM(G$5:G530)-SUM(H$5:H530))</f>
        <v/>
      </c>
      <c r="J530" s="12">
        <f>IF(A530="","",MONTH(A530))</f>
        <v/>
      </c>
    </row>
    <row r="531">
      <c r="A531" s="18" t="n"/>
      <c r="B531" s="15" t="n"/>
      <c r="C531" s="15" t="n"/>
      <c r="D531" s="15" t="n"/>
      <c r="E531" s="15" t="n"/>
      <c r="F531" s="15" t="n"/>
      <c r="G531" s="17" t="n"/>
      <c r="H531" s="17" t="n"/>
      <c r="I531" s="7">
        <f>IF(AND(G531="",H531=""),"",Paramètres!$B$5+SUM(G$5:G531)-SUM(H$5:H531))</f>
        <v/>
      </c>
      <c r="J531" s="12">
        <f>IF(A531="","",MONTH(A531))</f>
        <v/>
      </c>
    </row>
    <row r="532">
      <c r="A532" s="18" t="n"/>
      <c r="B532" s="15" t="n"/>
      <c r="C532" s="15" t="n"/>
      <c r="D532" s="15" t="n"/>
      <c r="E532" s="15" t="n"/>
      <c r="F532" s="15" t="n"/>
      <c r="G532" s="17" t="n"/>
      <c r="H532" s="17" t="n"/>
      <c r="I532" s="7">
        <f>IF(AND(G532="",H532=""),"",Paramètres!$B$5+SUM(G$5:G532)-SUM(H$5:H532))</f>
        <v/>
      </c>
      <c r="J532" s="12">
        <f>IF(A532="","",MONTH(A532))</f>
        <v/>
      </c>
    </row>
    <row r="533">
      <c r="A533" s="18" t="n"/>
      <c r="B533" s="15" t="n"/>
      <c r="C533" s="15" t="n"/>
      <c r="D533" s="15" t="n"/>
      <c r="E533" s="15" t="n"/>
      <c r="F533" s="15" t="n"/>
      <c r="G533" s="17" t="n"/>
      <c r="H533" s="17" t="n"/>
      <c r="I533" s="7">
        <f>IF(AND(G533="",H533=""),"",Paramètres!$B$5+SUM(G$5:G533)-SUM(H$5:H533))</f>
        <v/>
      </c>
      <c r="J533" s="12">
        <f>IF(A533="","",MONTH(A533))</f>
        <v/>
      </c>
    </row>
    <row r="534">
      <c r="A534" s="18" t="n"/>
      <c r="B534" s="15" t="n"/>
      <c r="C534" s="15" t="n"/>
      <c r="D534" s="15" t="n"/>
      <c r="E534" s="15" t="n"/>
      <c r="F534" s="15" t="n"/>
      <c r="G534" s="17" t="n"/>
      <c r="H534" s="17" t="n"/>
      <c r="I534" s="7">
        <f>IF(AND(G534="",H534=""),"",Paramètres!$B$5+SUM(G$5:G534)-SUM(H$5:H534))</f>
        <v/>
      </c>
      <c r="J534" s="12">
        <f>IF(A534="","",MONTH(A534))</f>
        <v/>
      </c>
    </row>
    <row r="535">
      <c r="A535" s="18" t="n"/>
      <c r="B535" s="15" t="n"/>
      <c r="C535" s="15" t="n"/>
      <c r="D535" s="15" t="n"/>
      <c r="E535" s="15" t="n"/>
      <c r="F535" s="15" t="n"/>
      <c r="G535" s="17" t="n"/>
      <c r="H535" s="17" t="n"/>
      <c r="I535" s="7">
        <f>IF(AND(G535="",H535=""),"",Paramètres!$B$5+SUM(G$5:G535)-SUM(H$5:H535))</f>
        <v/>
      </c>
      <c r="J535" s="12">
        <f>IF(A535="","",MONTH(A535))</f>
        <v/>
      </c>
    </row>
    <row r="536">
      <c r="A536" s="18" t="n"/>
      <c r="B536" s="15" t="n"/>
      <c r="C536" s="15" t="n"/>
      <c r="D536" s="15" t="n"/>
      <c r="E536" s="15" t="n"/>
      <c r="F536" s="15" t="n"/>
      <c r="G536" s="17" t="n"/>
      <c r="H536" s="17" t="n"/>
      <c r="I536" s="7">
        <f>IF(AND(G536="",H536=""),"",Paramètres!$B$5+SUM(G$5:G536)-SUM(H$5:H536))</f>
        <v/>
      </c>
      <c r="J536" s="12">
        <f>IF(A536="","",MONTH(A536))</f>
        <v/>
      </c>
    </row>
    <row r="537">
      <c r="A537" s="18" t="n"/>
      <c r="B537" s="15" t="n"/>
      <c r="C537" s="15" t="n"/>
      <c r="D537" s="15" t="n"/>
      <c r="E537" s="15" t="n"/>
      <c r="F537" s="15" t="n"/>
      <c r="G537" s="17" t="n"/>
      <c r="H537" s="17" t="n"/>
      <c r="I537" s="7">
        <f>IF(AND(G537="",H537=""),"",Paramètres!$B$5+SUM(G$5:G537)-SUM(H$5:H537))</f>
        <v/>
      </c>
      <c r="J537" s="12">
        <f>IF(A537="","",MONTH(A537))</f>
        <v/>
      </c>
    </row>
    <row r="538">
      <c r="A538" s="18" t="n"/>
      <c r="B538" s="15" t="n"/>
      <c r="C538" s="15" t="n"/>
      <c r="D538" s="15" t="n"/>
      <c r="E538" s="15" t="n"/>
      <c r="F538" s="15" t="n"/>
      <c r="G538" s="17" t="n"/>
      <c r="H538" s="17" t="n"/>
      <c r="I538" s="7">
        <f>IF(AND(G538="",H538=""),"",Paramètres!$B$5+SUM(G$5:G538)-SUM(H$5:H538))</f>
        <v/>
      </c>
      <c r="J538" s="12">
        <f>IF(A538="","",MONTH(A538))</f>
        <v/>
      </c>
    </row>
    <row r="539">
      <c r="A539" s="18" t="n"/>
      <c r="B539" s="15" t="n"/>
      <c r="C539" s="15" t="n"/>
      <c r="D539" s="15" t="n"/>
      <c r="E539" s="15" t="n"/>
      <c r="F539" s="15" t="n"/>
      <c r="G539" s="17" t="n"/>
      <c r="H539" s="17" t="n"/>
      <c r="I539" s="7">
        <f>IF(AND(G539="",H539=""),"",Paramètres!$B$5+SUM(G$5:G539)-SUM(H$5:H539))</f>
        <v/>
      </c>
      <c r="J539" s="12">
        <f>IF(A539="","",MONTH(A539))</f>
        <v/>
      </c>
    </row>
    <row r="540">
      <c r="A540" s="18" t="n"/>
      <c r="B540" s="15" t="n"/>
      <c r="C540" s="15" t="n"/>
      <c r="D540" s="15" t="n"/>
      <c r="E540" s="15" t="n"/>
      <c r="F540" s="15" t="n"/>
      <c r="G540" s="17" t="n"/>
      <c r="H540" s="17" t="n"/>
      <c r="I540" s="7">
        <f>IF(AND(G540="",H540=""),"",Paramètres!$B$5+SUM(G$5:G540)-SUM(H$5:H540))</f>
        <v/>
      </c>
      <c r="J540" s="12">
        <f>IF(A540="","",MONTH(A540))</f>
        <v/>
      </c>
    </row>
    <row r="541">
      <c r="A541" s="18" t="n"/>
      <c r="B541" s="15" t="n"/>
      <c r="C541" s="15" t="n"/>
      <c r="D541" s="15" t="n"/>
      <c r="E541" s="15" t="n"/>
      <c r="F541" s="15" t="n"/>
      <c r="G541" s="17" t="n"/>
      <c r="H541" s="17" t="n"/>
      <c r="I541" s="7">
        <f>IF(AND(G541="",H541=""),"",Paramètres!$B$5+SUM(G$5:G541)-SUM(H$5:H541))</f>
        <v/>
      </c>
      <c r="J541" s="12">
        <f>IF(A541="","",MONTH(A541))</f>
        <v/>
      </c>
    </row>
    <row r="542">
      <c r="A542" s="18" t="n"/>
      <c r="B542" s="15" t="n"/>
      <c r="C542" s="15" t="n"/>
      <c r="D542" s="15" t="n"/>
      <c r="E542" s="15" t="n"/>
      <c r="F542" s="15" t="n"/>
      <c r="G542" s="17" t="n"/>
      <c r="H542" s="17" t="n"/>
      <c r="I542" s="7">
        <f>IF(AND(G542="",H542=""),"",Paramètres!$B$5+SUM(G$5:G542)-SUM(H$5:H542))</f>
        <v/>
      </c>
      <c r="J542" s="12">
        <f>IF(A542="","",MONTH(A542))</f>
        <v/>
      </c>
    </row>
    <row r="543">
      <c r="A543" s="18" t="n"/>
      <c r="B543" s="15" t="n"/>
      <c r="C543" s="15" t="n"/>
      <c r="D543" s="15" t="n"/>
      <c r="E543" s="15" t="n"/>
      <c r="F543" s="15" t="n"/>
      <c r="G543" s="17" t="n"/>
      <c r="H543" s="17" t="n"/>
      <c r="I543" s="7">
        <f>IF(AND(G543="",H543=""),"",Paramètres!$B$5+SUM(G$5:G543)-SUM(H$5:H543))</f>
        <v/>
      </c>
      <c r="J543" s="12">
        <f>IF(A543="","",MONTH(A543))</f>
        <v/>
      </c>
    </row>
    <row r="544">
      <c r="A544" s="18" t="n"/>
      <c r="B544" s="15" t="n"/>
      <c r="C544" s="15" t="n"/>
      <c r="D544" s="15" t="n"/>
      <c r="E544" s="15" t="n"/>
      <c r="F544" s="15" t="n"/>
      <c r="G544" s="17" t="n"/>
      <c r="H544" s="17" t="n"/>
      <c r="I544" s="7">
        <f>IF(AND(G544="",H544=""),"",Paramètres!$B$5+SUM(G$5:G544)-SUM(H$5:H544))</f>
        <v/>
      </c>
      <c r="J544" s="12">
        <f>IF(A544="","",MONTH(A544))</f>
        <v/>
      </c>
    </row>
    <row r="545">
      <c r="A545" s="18" t="n"/>
      <c r="B545" s="15" t="n"/>
      <c r="C545" s="15" t="n"/>
      <c r="D545" s="15" t="n"/>
      <c r="E545" s="15" t="n"/>
      <c r="F545" s="15" t="n"/>
      <c r="G545" s="17" t="n"/>
      <c r="H545" s="17" t="n"/>
      <c r="I545" s="7">
        <f>IF(AND(G545="",H545=""),"",Paramètres!$B$5+SUM(G$5:G545)-SUM(H$5:H545))</f>
        <v/>
      </c>
      <c r="J545" s="12">
        <f>IF(A545="","",MONTH(A545))</f>
        <v/>
      </c>
    </row>
    <row r="546">
      <c r="A546" s="18" t="n"/>
      <c r="B546" s="15" t="n"/>
      <c r="C546" s="15" t="n"/>
      <c r="D546" s="15" t="n"/>
      <c r="E546" s="15" t="n"/>
      <c r="F546" s="15" t="n"/>
      <c r="G546" s="17" t="n"/>
      <c r="H546" s="17" t="n"/>
      <c r="I546" s="7">
        <f>IF(AND(G546="",H546=""),"",Paramètres!$B$5+SUM(G$5:G546)-SUM(H$5:H546))</f>
        <v/>
      </c>
      <c r="J546" s="12">
        <f>IF(A546="","",MONTH(A546))</f>
        <v/>
      </c>
    </row>
    <row r="547">
      <c r="A547" s="18" t="n"/>
      <c r="B547" s="15" t="n"/>
      <c r="C547" s="15" t="n"/>
      <c r="D547" s="15" t="n"/>
      <c r="E547" s="15" t="n"/>
      <c r="F547" s="15" t="n"/>
      <c r="G547" s="17" t="n"/>
      <c r="H547" s="17" t="n"/>
      <c r="I547" s="7">
        <f>IF(AND(G547="",H547=""),"",Paramètres!$B$5+SUM(G$5:G547)-SUM(H$5:H547))</f>
        <v/>
      </c>
      <c r="J547" s="12">
        <f>IF(A547="","",MONTH(A547))</f>
        <v/>
      </c>
    </row>
    <row r="548">
      <c r="A548" s="18" t="n"/>
      <c r="B548" s="15" t="n"/>
      <c r="C548" s="15" t="n"/>
      <c r="D548" s="15" t="n"/>
      <c r="E548" s="15" t="n"/>
      <c r="F548" s="15" t="n"/>
      <c r="G548" s="17" t="n"/>
      <c r="H548" s="17" t="n"/>
      <c r="I548" s="7">
        <f>IF(AND(G548="",H548=""),"",Paramètres!$B$5+SUM(G$5:G548)-SUM(H$5:H548))</f>
        <v/>
      </c>
      <c r="J548" s="12">
        <f>IF(A548="","",MONTH(A548))</f>
        <v/>
      </c>
    </row>
    <row r="549">
      <c r="A549" s="18" t="n"/>
      <c r="B549" s="15" t="n"/>
      <c r="C549" s="15" t="n"/>
      <c r="D549" s="15" t="n"/>
      <c r="E549" s="15" t="n"/>
      <c r="F549" s="15" t="n"/>
      <c r="G549" s="17" t="n"/>
      <c r="H549" s="17" t="n"/>
      <c r="I549" s="7">
        <f>IF(AND(G549="",H549=""),"",Paramètres!$B$5+SUM(G$5:G549)-SUM(H$5:H549))</f>
        <v/>
      </c>
      <c r="J549" s="12">
        <f>IF(A549="","",MONTH(A549))</f>
        <v/>
      </c>
    </row>
    <row r="550">
      <c r="A550" s="18" t="n"/>
      <c r="B550" s="15" t="n"/>
      <c r="C550" s="15" t="n"/>
      <c r="D550" s="15" t="n"/>
      <c r="E550" s="15" t="n"/>
      <c r="F550" s="15" t="n"/>
      <c r="G550" s="17" t="n"/>
      <c r="H550" s="17" t="n"/>
      <c r="I550" s="7">
        <f>IF(AND(G550="",H550=""),"",Paramètres!$B$5+SUM(G$5:G550)-SUM(H$5:H550))</f>
        <v/>
      </c>
      <c r="J550" s="12">
        <f>IF(A550="","",MONTH(A550))</f>
        <v/>
      </c>
    </row>
    <row r="551">
      <c r="A551" s="18" t="n"/>
      <c r="B551" s="15" t="n"/>
      <c r="C551" s="15" t="n"/>
      <c r="D551" s="15" t="n"/>
      <c r="E551" s="15" t="n"/>
      <c r="F551" s="15" t="n"/>
      <c r="G551" s="17" t="n"/>
      <c r="H551" s="17" t="n"/>
      <c r="I551" s="7">
        <f>IF(AND(G551="",H551=""),"",Paramètres!$B$5+SUM(G$5:G551)-SUM(H$5:H551))</f>
        <v/>
      </c>
      <c r="J551" s="12">
        <f>IF(A551="","",MONTH(A551))</f>
        <v/>
      </c>
    </row>
    <row r="552">
      <c r="A552" s="18" t="n"/>
      <c r="B552" s="15" t="n"/>
      <c r="C552" s="15" t="n"/>
      <c r="D552" s="15" t="n"/>
      <c r="E552" s="15" t="n"/>
      <c r="F552" s="15" t="n"/>
      <c r="G552" s="17" t="n"/>
      <c r="H552" s="17" t="n"/>
      <c r="I552" s="7">
        <f>IF(AND(G552="",H552=""),"",Paramètres!$B$5+SUM(G$5:G552)-SUM(H$5:H552))</f>
        <v/>
      </c>
      <c r="J552" s="12">
        <f>IF(A552="","",MONTH(A552))</f>
        <v/>
      </c>
    </row>
    <row r="553">
      <c r="A553" s="18" t="n"/>
      <c r="B553" s="15" t="n"/>
      <c r="C553" s="15" t="n"/>
      <c r="D553" s="15" t="n"/>
      <c r="E553" s="15" t="n"/>
      <c r="F553" s="15" t="n"/>
      <c r="G553" s="17" t="n"/>
      <c r="H553" s="17" t="n"/>
      <c r="I553" s="7">
        <f>IF(AND(G553="",H553=""),"",Paramètres!$B$5+SUM(G$5:G553)-SUM(H$5:H553))</f>
        <v/>
      </c>
      <c r="J553" s="12">
        <f>IF(A553="","",MONTH(A553))</f>
        <v/>
      </c>
    </row>
    <row r="554">
      <c r="A554" s="18" t="n"/>
      <c r="B554" s="15" t="n"/>
      <c r="C554" s="15" t="n"/>
      <c r="D554" s="15" t="n"/>
      <c r="E554" s="15" t="n"/>
      <c r="F554" s="15" t="n"/>
      <c r="G554" s="17" t="n"/>
      <c r="H554" s="17" t="n"/>
      <c r="I554" s="7">
        <f>IF(AND(G554="",H554=""),"",Paramètres!$B$5+SUM(G$5:G554)-SUM(H$5:H554))</f>
        <v/>
      </c>
      <c r="J554" s="12">
        <f>IF(A554="","",MONTH(A554))</f>
        <v/>
      </c>
    </row>
    <row r="555">
      <c r="A555" s="18" t="n"/>
      <c r="B555" s="15" t="n"/>
      <c r="C555" s="15" t="n"/>
      <c r="D555" s="15" t="n"/>
      <c r="E555" s="15" t="n"/>
      <c r="F555" s="15" t="n"/>
      <c r="G555" s="17" t="n"/>
      <c r="H555" s="17" t="n"/>
      <c r="I555" s="7">
        <f>IF(AND(G555="",H555=""),"",Paramètres!$B$5+SUM(G$5:G555)-SUM(H$5:H555))</f>
        <v/>
      </c>
      <c r="J555" s="12">
        <f>IF(A555="","",MONTH(A555))</f>
        <v/>
      </c>
    </row>
    <row r="556">
      <c r="A556" s="18" t="n"/>
      <c r="B556" s="15" t="n"/>
      <c r="C556" s="15" t="n"/>
      <c r="D556" s="15" t="n"/>
      <c r="E556" s="15" t="n"/>
      <c r="F556" s="15" t="n"/>
      <c r="G556" s="17" t="n"/>
      <c r="H556" s="17" t="n"/>
      <c r="I556" s="7">
        <f>IF(AND(G556="",H556=""),"",Paramètres!$B$5+SUM(G$5:G556)-SUM(H$5:H556))</f>
        <v/>
      </c>
      <c r="J556" s="12">
        <f>IF(A556="","",MONTH(A556))</f>
        <v/>
      </c>
    </row>
    <row r="557">
      <c r="A557" s="18" t="n"/>
      <c r="B557" s="15" t="n"/>
      <c r="C557" s="15" t="n"/>
      <c r="D557" s="15" t="n"/>
      <c r="E557" s="15" t="n"/>
      <c r="F557" s="15" t="n"/>
      <c r="G557" s="17" t="n"/>
      <c r="H557" s="17" t="n"/>
      <c r="I557" s="7">
        <f>IF(AND(G557="",H557=""),"",Paramètres!$B$5+SUM(G$5:G557)-SUM(H$5:H557))</f>
        <v/>
      </c>
      <c r="J557" s="12">
        <f>IF(A557="","",MONTH(A557))</f>
        <v/>
      </c>
    </row>
    <row r="558">
      <c r="A558" s="18" t="n"/>
      <c r="B558" s="15" t="n"/>
      <c r="C558" s="15" t="n"/>
      <c r="D558" s="15" t="n"/>
      <c r="E558" s="15" t="n"/>
      <c r="F558" s="15" t="n"/>
      <c r="G558" s="17" t="n"/>
      <c r="H558" s="17" t="n"/>
      <c r="I558" s="7">
        <f>IF(AND(G558="",H558=""),"",Paramètres!$B$5+SUM(G$5:G558)-SUM(H$5:H558))</f>
        <v/>
      </c>
      <c r="J558" s="12">
        <f>IF(A558="","",MONTH(A558))</f>
        <v/>
      </c>
    </row>
    <row r="559">
      <c r="A559" s="18" t="n"/>
      <c r="B559" s="15" t="n"/>
      <c r="C559" s="15" t="n"/>
      <c r="D559" s="15" t="n"/>
      <c r="E559" s="15" t="n"/>
      <c r="F559" s="15" t="n"/>
      <c r="G559" s="17" t="n"/>
      <c r="H559" s="17" t="n"/>
      <c r="I559" s="7">
        <f>IF(AND(G559="",H559=""),"",Paramètres!$B$5+SUM(G$5:G559)-SUM(H$5:H559))</f>
        <v/>
      </c>
      <c r="J559" s="12">
        <f>IF(A559="","",MONTH(A559))</f>
        <v/>
      </c>
    </row>
    <row r="560">
      <c r="A560" s="18" t="n"/>
      <c r="B560" s="15" t="n"/>
      <c r="C560" s="15" t="n"/>
      <c r="D560" s="15" t="n"/>
      <c r="E560" s="15" t="n"/>
      <c r="F560" s="15" t="n"/>
      <c r="G560" s="17" t="n"/>
      <c r="H560" s="17" t="n"/>
      <c r="I560" s="7">
        <f>IF(AND(G560="",H560=""),"",Paramètres!$B$5+SUM(G$5:G560)-SUM(H$5:H560))</f>
        <v/>
      </c>
      <c r="J560" s="12">
        <f>IF(A560="","",MONTH(A560))</f>
        <v/>
      </c>
    </row>
    <row r="561">
      <c r="A561" s="18" t="n"/>
      <c r="B561" s="15" t="n"/>
      <c r="C561" s="15" t="n"/>
      <c r="D561" s="15" t="n"/>
      <c r="E561" s="15" t="n"/>
      <c r="F561" s="15" t="n"/>
      <c r="G561" s="17" t="n"/>
      <c r="H561" s="17" t="n"/>
      <c r="I561" s="7">
        <f>IF(AND(G561="",H561=""),"",Paramètres!$B$5+SUM(G$5:G561)-SUM(H$5:H561))</f>
        <v/>
      </c>
      <c r="J561" s="12">
        <f>IF(A561="","",MONTH(A561))</f>
        <v/>
      </c>
    </row>
    <row r="562">
      <c r="A562" s="18" t="n"/>
      <c r="B562" s="15" t="n"/>
      <c r="C562" s="15" t="n"/>
      <c r="D562" s="15" t="n"/>
      <c r="E562" s="15" t="n"/>
      <c r="F562" s="15" t="n"/>
      <c r="G562" s="17" t="n"/>
      <c r="H562" s="17" t="n"/>
      <c r="I562" s="7">
        <f>IF(AND(G562="",H562=""),"",Paramètres!$B$5+SUM(G$5:G562)-SUM(H$5:H562))</f>
        <v/>
      </c>
      <c r="J562" s="12">
        <f>IF(A562="","",MONTH(A562))</f>
        <v/>
      </c>
    </row>
    <row r="563">
      <c r="A563" s="18" t="n"/>
      <c r="B563" s="15" t="n"/>
      <c r="C563" s="15" t="n"/>
      <c r="D563" s="15" t="n"/>
      <c r="E563" s="15" t="n"/>
      <c r="F563" s="15" t="n"/>
      <c r="G563" s="17" t="n"/>
      <c r="H563" s="17" t="n"/>
      <c r="I563" s="7">
        <f>IF(AND(G563="",H563=""),"",Paramètres!$B$5+SUM(G$5:G563)-SUM(H$5:H563))</f>
        <v/>
      </c>
      <c r="J563" s="12">
        <f>IF(A563="","",MONTH(A563))</f>
        <v/>
      </c>
    </row>
    <row r="564">
      <c r="A564" s="18" t="n"/>
      <c r="B564" s="15" t="n"/>
      <c r="C564" s="15" t="n"/>
      <c r="D564" s="15" t="n"/>
      <c r="E564" s="15" t="n"/>
      <c r="F564" s="15" t="n"/>
      <c r="G564" s="17" t="n"/>
      <c r="H564" s="17" t="n"/>
      <c r="I564" s="7">
        <f>IF(AND(G564="",H564=""),"",Paramètres!$B$5+SUM(G$5:G564)-SUM(H$5:H564))</f>
        <v/>
      </c>
      <c r="J564" s="12">
        <f>IF(A564="","",MONTH(A564))</f>
        <v/>
      </c>
    </row>
    <row r="565">
      <c r="A565" s="18" t="n"/>
      <c r="B565" s="15" t="n"/>
      <c r="C565" s="15" t="n"/>
      <c r="D565" s="15" t="n"/>
      <c r="E565" s="15" t="n"/>
      <c r="F565" s="15" t="n"/>
      <c r="G565" s="17" t="n"/>
      <c r="H565" s="17" t="n"/>
      <c r="I565" s="7">
        <f>IF(AND(G565="",H565=""),"",Paramètres!$B$5+SUM(G$5:G565)-SUM(H$5:H565))</f>
        <v/>
      </c>
      <c r="J565" s="12">
        <f>IF(A565="","",MONTH(A565))</f>
        <v/>
      </c>
    </row>
    <row r="566">
      <c r="A566" s="18" t="n"/>
      <c r="B566" s="15" t="n"/>
      <c r="C566" s="15" t="n"/>
      <c r="D566" s="15" t="n"/>
      <c r="E566" s="15" t="n"/>
      <c r="F566" s="15" t="n"/>
      <c r="G566" s="17" t="n"/>
      <c r="H566" s="17" t="n"/>
      <c r="I566" s="7">
        <f>IF(AND(G566="",H566=""),"",Paramètres!$B$5+SUM(G$5:G566)-SUM(H$5:H566))</f>
        <v/>
      </c>
      <c r="J566" s="12">
        <f>IF(A566="","",MONTH(A566))</f>
        <v/>
      </c>
    </row>
    <row r="567">
      <c r="A567" s="18" t="n"/>
      <c r="B567" s="15" t="n"/>
      <c r="C567" s="15" t="n"/>
      <c r="D567" s="15" t="n"/>
      <c r="E567" s="15" t="n"/>
      <c r="F567" s="15" t="n"/>
      <c r="G567" s="17" t="n"/>
      <c r="H567" s="17" t="n"/>
      <c r="I567" s="7">
        <f>IF(AND(G567="",H567=""),"",Paramètres!$B$5+SUM(G$5:G567)-SUM(H$5:H567))</f>
        <v/>
      </c>
      <c r="J567" s="12">
        <f>IF(A567="","",MONTH(A567))</f>
        <v/>
      </c>
    </row>
    <row r="568">
      <c r="A568" s="18" t="n"/>
      <c r="B568" s="15" t="n"/>
      <c r="C568" s="15" t="n"/>
      <c r="D568" s="15" t="n"/>
      <c r="E568" s="15" t="n"/>
      <c r="F568" s="15" t="n"/>
      <c r="G568" s="17" t="n"/>
      <c r="H568" s="17" t="n"/>
      <c r="I568" s="7">
        <f>IF(AND(G568="",H568=""),"",Paramètres!$B$5+SUM(G$5:G568)-SUM(H$5:H568))</f>
        <v/>
      </c>
      <c r="J568" s="12">
        <f>IF(A568="","",MONTH(A568))</f>
        <v/>
      </c>
    </row>
    <row r="569">
      <c r="A569" s="18" t="n"/>
      <c r="B569" s="15" t="n"/>
      <c r="C569" s="15" t="n"/>
      <c r="D569" s="15" t="n"/>
      <c r="E569" s="15" t="n"/>
      <c r="F569" s="15" t="n"/>
      <c r="G569" s="17" t="n"/>
      <c r="H569" s="17" t="n"/>
      <c r="I569" s="7">
        <f>IF(AND(G569="",H569=""),"",Paramètres!$B$5+SUM(G$5:G569)-SUM(H$5:H569))</f>
        <v/>
      </c>
      <c r="J569" s="12">
        <f>IF(A569="","",MONTH(A569))</f>
        <v/>
      </c>
    </row>
    <row r="570">
      <c r="A570" s="18" t="n"/>
      <c r="B570" s="15" t="n"/>
      <c r="C570" s="15" t="n"/>
      <c r="D570" s="15" t="n"/>
      <c r="E570" s="15" t="n"/>
      <c r="F570" s="15" t="n"/>
      <c r="G570" s="17" t="n"/>
      <c r="H570" s="17" t="n"/>
      <c r="I570" s="7">
        <f>IF(AND(G570="",H570=""),"",Paramètres!$B$5+SUM(G$5:G570)-SUM(H$5:H570))</f>
        <v/>
      </c>
      <c r="J570" s="12">
        <f>IF(A570="","",MONTH(A570))</f>
        <v/>
      </c>
    </row>
    <row r="571">
      <c r="A571" s="18" t="n"/>
      <c r="B571" s="15" t="n"/>
      <c r="C571" s="15" t="n"/>
      <c r="D571" s="15" t="n"/>
      <c r="E571" s="15" t="n"/>
      <c r="F571" s="15" t="n"/>
      <c r="G571" s="17" t="n"/>
      <c r="H571" s="17" t="n"/>
      <c r="I571" s="7">
        <f>IF(AND(G571="",H571=""),"",Paramètres!$B$5+SUM(G$5:G571)-SUM(H$5:H571))</f>
        <v/>
      </c>
      <c r="J571" s="12">
        <f>IF(A571="","",MONTH(A571))</f>
        <v/>
      </c>
    </row>
    <row r="572">
      <c r="A572" s="18" t="n"/>
      <c r="B572" s="15" t="n"/>
      <c r="C572" s="15" t="n"/>
      <c r="D572" s="15" t="n"/>
      <c r="E572" s="15" t="n"/>
      <c r="F572" s="15" t="n"/>
      <c r="G572" s="17" t="n"/>
      <c r="H572" s="17" t="n"/>
      <c r="I572" s="7">
        <f>IF(AND(G572="",H572=""),"",Paramètres!$B$5+SUM(G$5:G572)-SUM(H$5:H572))</f>
        <v/>
      </c>
      <c r="J572" s="12">
        <f>IF(A572="","",MONTH(A572))</f>
        <v/>
      </c>
    </row>
    <row r="573">
      <c r="A573" s="18" t="n"/>
      <c r="B573" s="15" t="n"/>
      <c r="C573" s="15" t="n"/>
      <c r="D573" s="15" t="n"/>
      <c r="E573" s="15" t="n"/>
      <c r="F573" s="15" t="n"/>
      <c r="G573" s="17" t="n"/>
      <c r="H573" s="17" t="n"/>
      <c r="I573" s="7">
        <f>IF(AND(G573="",H573=""),"",Paramètres!$B$5+SUM(G$5:G573)-SUM(H$5:H573))</f>
        <v/>
      </c>
      <c r="J573" s="12">
        <f>IF(A573="","",MONTH(A573))</f>
        <v/>
      </c>
    </row>
    <row r="574">
      <c r="A574" s="18" t="n"/>
      <c r="B574" s="15" t="n"/>
      <c r="C574" s="15" t="n"/>
      <c r="D574" s="15" t="n"/>
      <c r="E574" s="15" t="n"/>
      <c r="F574" s="15" t="n"/>
      <c r="G574" s="17" t="n"/>
      <c r="H574" s="17" t="n"/>
      <c r="I574" s="7">
        <f>IF(AND(G574="",H574=""),"",Paramètres!$B$5+SUM(G$5:G574)-SUM(H$5:H574))</f>
        <v/>
      </c>
      <c r="J574" s="12">
        <f>IF(A574="","",MONTH(A574))</f>
        <v/>
      </c>
    </row>
    <row r="575">
      <c r="A575" s="18" t="n"/>
      <c r="B575" s="15" t="n"/>
      <c r="C575" s="15" t="n"/>
      <c r="D575" s="15" t="n"/>
      <c r="E575" s="15" t="n"/>
      <c r="F575" s="15" t="n"/>
      <c r="G575" s="17" t="n"/>
      <c r="H575" s="17" t="n"/>
      <c r="I575" s="7">
        <f>IF(AND(G575="",H575=""),"",Paramètres!$B$5+SUM(G$5:G575)-SUM(H$5:H575))</f>
        <v/>
      </c>
      <c r="J575" s="12">
        <f>IF(A575="","",MONTH(A575))</f>
        <v/>
      </c>
    </row>
    <row r="576">
      <c r="A576" s="18" t="n"/>
      <c r="B576" s="15" t="n"/>
      <c r="C576" s="15" t="n"/>
      <c r="D576" s="15" t="n"/>
      <c r="E576" s="15" t="n"/>
      <c r="F576" s="15" t="n"/>
      <c r="G576" s="17" t="n"/>
      <c r="H576" s="17" t="n"/>
      <c r="I576" s="7">
        <f>IF(AND(G576="",H576=""),"",Paramètres!$B$5+SUM(G$5:G576)-SUM(H$5:H576))</f>
        <v/>
      </c>
      <c r="J576" s="12">
        <f>IF(A576="","",MONTH(A576))</f>
        <v/>
      </c>
    </row>
    <row r="577">
      <c r="A577" s="18" t="n"/>
      <c r="B577" s="15" t="n"/>
      <c r="C577" s="15" t="n"/>
      <c r="D577" s="15" t="n"/>
      <c r="E577" s="15" t="n"/>
      <c r="F577" s="15" t="n"/>
      <c r="G577" s="17" t="n"/>
      <c r="H577" s="17" t="n"/>
      <c r="I577" s="7">
        <f>IF(AND(G577="",H577=""),"",Paramètres!$B$5+SUM(G$5:G577)-SUM(H$5:H577))</f>
        <v/>
      </c>
      <c r="J577" s="12">
        <f>IF(A577="","",MONTH(A577))</f>
        <v/>
      </c>
    </row>
    <row r="578">
      <c r="A578" s="18" t="n"/>
      <c r="B578" s="15" t="n"/>
      <c r="C578" s="15" t="n"/>
      <c r="D578" s="15" t="n"/>
      <c r="E578" s="15" t="n"/>
      <c r="F578" s="15" t="n"/>
      <c r="G578" s="17" t="n"/>
      <c r="H578" s="17" t="n"/>
      <c r="I578" s="7">
        <f>IF(AND(G578="",H578=""),"",Paramètres!$B$5+SUM(G$5:G578)-SUM(H$5:H578))</f>
        <v/>
      </c>
      <c r="J578" s="12">
        <f>IF(A578="","",MONTH(A578))</f>
        <v/>
      </c>
    </row>
    <row r="579">
      <c r="A579" s="18" t="n"/>
      <c r="B579" s="15" t="n"/>
      <c r="C579" s="15" t="n"/>
      <c r="D579" s="15" t="n"/>
      <c r="E579" s="15" t="n"/>
      <c r="F579" s="15" t="n"/>
      <c r="G579" s="17" t="n"/>
      <c r="H579" s="17" t="n"/>
      <c r="I579" s="7">
        <f>IF(AND(G579="",H579=""),"",Paramètres!$B$5+SUM(G$5:G579)-SUM(H$5:H579))</f>
        <v/>
      </c>
      <c r="J579" s="12">
        <f>IF(A579="","",MONTH(A579))</f>
        <v/>
      </c>
    </row>
    <row r="580">
      <c r="A580" s="18" t="n"/>
      <c r="B580" s="15" t="n"/>
      <c r="C580" s="15" t="n"/>
      <c r="D580" s="15" t="n"/>
      <c r="E580" s="15" t="n"/>
      <c r="F580" s="15" t="n"/>
      <c r="G580" s="17" t="n"/>
      <c r="H580" s="17" t="n"/>
      <c r="I580" s="7">
        <f>IF(AND(G580="",H580=""),"",Paramètres!$B$5+SUM(G$5:G580)-SUM(H$5:H580))</f>
        <v/>
      </c>
      <c r="J580" s="12">
        <f>IF(A580="","",MONTH(A580))</f>
        <v/>
      </c>
    </row>
    <row r="581">
      <c r="A581" s="18" t="n"/>
      <c r="B581" s="15" t="n"/>
      <c r="C581" s="15" t="n"/>
      <c r="D581" s="15" t="n"/>
      <c r="E581" s="15" t="n"/>
      <c r="F581" s="15" t="n"/>
      <c r="G581" s="17" t="n"/>
      <c r="H581" s="17" t="n"/>
      <c r="I581" s="7">
        <f>IF(AND(G581="",H581=""),"",Paramètres!$B$5+SUM(G$5:G581)-SUM(H$5:H581))</f>
        <v/>
      </c>
      <c r="J581" s="12">
        <f>IF(A581="","",MONTH(A581))</f>
        <v/>
      </c>
    </row>
    <row r="582">
      <c r="A582" s="18" t="n"/>
      <c r="B582" s="15" t="n"/>
      <c r="C582" s="15" t="n"/>
      <c r="D582" s="15" t="n"/>
      <c r="E582" s="15" t="n"/>
      <c r="F582" s="15" t="n"/>
      <c r="G582" s="17" t="n"/>
      <c r="H582" s="17" t="n"/>
      <c r="I582" s="7">
        <f>IF(AND(G582="",H582=""),"",Paramètres!$B$5+SUM(G$5:G582)-SUM(H$5:H582))</f>
        <v/>
      </c>
      <c r="J582" s="12">
        <f>IF(A582="","",MONTH(A582))</f>
        <v/>
      </c>
    </row>
    <row r="583">
      <c r="A583" s="18" t="n"/>
      <c r="B583" s="15" t="n"/>
      <c r="C583" s="15" t="n"/>
      <c r="D583" s="15" t="n"/>
      <c r="E583" s="15" t="n"/>
      <c r="F583" s="15" t="n"/>
      <c r="G583" s="17" t="n"/>
      <c r="H583" s="17" t="n"/>
      <c r="I583" s="7">
        <f>IF(AND(G583="",H583=""),"",Paramètres!$B$5+SUM(G$5:G583)-SUM(H$5:H583))</f>
        <v/>
      </c>
      <c r="J583" s="12">
        <f>IF(A583="","",MONTH(A583))</f>
        <v/>
      </c>
    </row>
    <row r="584">
      <c r="A584" s="18" t="n"/>
      <c r="B584" s="15" t="n"/>
      <c r="C584" s="15" t="n"/>
      <c r="D584" s="15" t="n"/>
      <c r="E584" s="15" t="n"/>
      <c r="F584" s="15" t="n"/>
      <c r="G584" s="17" t="n"/>
      <c r="H584" s="17" t="n"/>
      <c r="I584" s="7">
        <f>IF(AND(G584="",H584=""),"",Paramètres!$B$5+SUM(G$5:G584)-SUM(H$5:H584))</f>
        <v/>
      </c>
      <c r="J584" s="12">
        <f>IF(A584="","",MONTH(A584))</f>
        <v/>
      </c>
    </row>
    <row r="585">
      <c r="A585" s="18" t="n"/>
      <c r="B585" s="15" t="n"/>
      <c r="C585" s="15" t="n"/>
      <c r="D585" s="15" t="n"/>
      <c r="E585" s="15" t="n"/>
      <c r="F585" s="15" t="n"/>
      <c r="G585" s="17" t="n"/>
      <c r="H585" s="17" t="n"/>
      <c r="I585" s="7">
        <f>IF(AND(G585="",H585=""),"",Paramètres!$B$5+SUM(G$5:G585)-SUM(H$5:H585))</f>
        <v/>
      </c>
      <c r="J585" s="12">
        <f>IF(A585="","",MONTH(A585))</f>
        <v/>
      </c>
    </row>
    <row r="586">
      <c r="A586" s="18" t="n"/>
      <c r="B586" s="15" t="n"/>
      <c r="C586" s="15" t="n"/>
      <c r="D586" s="15" t="n"/>
      <c r="E586" s="15" t="n"/>
      <c r="F586" s="15" t="n"/>
      <c r="G586" s="17" t="n"/>
      <c r="H586" s="17" t="n"/>
      <c r="I586" s="7">
        <f>IF(AND(G586="",H586=""),"",Paramètres!$B$5+SUM(G$5:G586)-SUM(H$5:H586))</f>
        <v/>
      </c>
      <c r="J586" s="12">
        <f>IF(A586="","",MONTH(A586))</f>
        <v/>
      </c>
    </row>
    <row r="587">
      <c r="A587" s="18" t="n"/>
      <c r="B587" s="15" t="n"/>
      <c r="C587" s="15" t="n"/>
      <c r="D587" s="15" t="n"/>
      <c r="E587" s="15" t="n"/>
      <c r="F587" s="15" t="n"/>
      <c r="G587" s="17" t="n"/>
      <c r="H587" s="17" t="n"/>
      <c r="I587" s="7">
        <f>IF(AND(G587="",H587=""),"",Paramètres!$B$5+SUM(G$5:G587)-SUM(H$5:H587))</f>
        <v/>
      </c>
      <c r="J587" s="12">
        <f>IF(A587="","",MONTH(A587))</f>
        <v/>
      </c>
    </row>
    <row r="588">
      <c r="A588" s="18" t="n"/>
      <c r="B588" s="15" t="n"/>
      <c r="C588" s="15" t="n"/>
      <c r="D588" s="15" t="n"/>
      <c r="E588" s="15" t="n"/>
      <c r="F588" s="15" t="n"/>
      <c r="G588" s="17" t="n"/>
      <c r="H588" s="17" t="n"/>
      <c r="I588" s="7">
        <f>IF(AND(G588="",H588=""),"",Paramètres!$B$5+SUM(G$5:G588)-SUM(H$5:H588))</f>
        <v/>
      </c>
      <c r="J588" s="12">
        <f>IF(A588="","",MONTH(A588))</f>
        <v/>
      </c>
    </row>
    <row r="589">
      <c r="A589" s="18" t="n"/>
      <c r="B589" s="15" t="n"/>
      <c r="C589" s="15" t="n"/>
      <c r="D589" s="15" t="n"/>
      <c r="E589" s="15" t="n"/>
      <c r="F589" s="15" t="n"/>
      <c r="G589" s="17" t="n"/>
      <c r="H589" s="17" t="n"/>
      <c r="I589" s="7">
        <f>IF(AND(G589="",H589=""),"",Paramètres!$B$5+SUM(G$5:G589)-SUM(H$5:H589))</f>
        <v/>
      </c>
      <c r="J589" s="12">
        <f>IF(A589="","",MONTH(A589))</f>
        <v/>
      </c>
    </row>
    <row r="590">
      <c r="A590" s="18" t="n"/>
      <c r="B590" s="15" t="n"/>
      <c r="C590" s="15" t="n"/>
      <c r="D590" s="15" t="n"/>
      <c r="E590" s="15" t="n"/>
      <c r="F590" s="15" t="n"/>
      <c r="G590" s="17" t="n"/>
      <c r="H590" s="17" t="n"/>
      <c r="I590" s="7">
        <f>IF(AND(G590="",H590=""),"",Paramètres!$B$5+SUM(G$5:G590)-SUM(H$5:H590))</f>
        <v/>
      </c>
      <c r="J590" s="12">
        <f>IF(A590="","",MONTH(A590))</f>
        <v/>
      </c>
    </row>
    <row r="591">
      <c r="A591" s="18" t="n"/>
      <c r="B591" s="15" t="n"/>
      <c r="C591" s="15" t="n"/>
      <c r="D591" s="15" t="n"/>
      <c r="E591" s="15" t="n"/>
      <c r="F591" s="15" t="n"/>
      <c r="G591" s="17" t="n"/>
      <c r="H591" s="17" t="n"/>
      <c r="I591" s="7">
        <f>IF(AND(G591="",H591=""),"",Paramètres!$B$5+SUM(G$5:G591)-SUM(H$5:H591))</f>
        <v/>
      </c>
      <c r="J591" s="12">
        <f>IF(A591="","",MONTH(A591))</f>
        <v/>
      </c>
    </row>
    <row r="592">
      <c r="A592" s="18" t="n"/>
      <c r="B592" s="15" t="n"/>
      <c r="C592" s="15" t="n"/>
      <c r="D592" s="15" t="n"/>
      <c r="E592" s="15" t="n"/>
      <c r="F592" s="15" t="n"/>
      <c r="G592" s="17" t="n"/>
      <c r="H592" s="17" t="n"/>
      <c r="I592" s="7">
        <f>IF(AND(G592="",H592=""),"",Paramètres!$B$5+SUM(G$5:G592)-SUM(H$5:H592))</f>
        <v/>
      </c>
      <c r="J592" s="12">
        <f>IF(A592="","",MONTH(A592))</f>
        <v/>
      </c>
    </row>
    <row r="593">
      <c r="A593" s="18" t="n"/>
      <c r="B593" s="15" t="n"/>
      <c r="C593" s="15" t="n"/>
      <c r="D593" s="15" t="n"/>
      <c r="E593" s="15" t="n"/>
      <c r="F593" s="15" t="n"/>
      <c r="G593" s="17" t="n"/>
      <c r="H593" s="17" t="n"/>
      <c r="I593" s="7">
        <f>IF(AND(G593="",H593=""),"",Paramètres!$B$5+SUM(G$5:G593)-SUM(H$5:H593))</f>
        <v/>
      </c>
      <c r="J593" s="12">
        <f>IF(A593="","",MONTH(A593))</f>
        <v/>
      </c>
    </row>
    <row r="594">
      <c r="A594" s="18" t="n"/>
      <c r="B594" s="15" t="n"/>
      <c r="C594" s="15" t="n"/>
      <c r="D594" s="15" t="n"/>
      <c r="E594" s="15" t="n"/>
      <c r="F594" s="15" t="n"/>
      <c r="G594" s="17" t="n"/>
      <c r="H594" s="17" t="n"/>
      <c r="I594" s="7">
        <f>IF(AND(G594="",H594=""),"",Paramètres!$B$5+SUM(G$5:G594)-SUM(H$5:H594))</f>
        <v/>
      </c>
      <c r="J594" s="12">
        <f>IF(A594="","",MONTH(A594))</f>
        <v/>
      </c>
    </row>
    <row r="595">
      <c r="A595" s="18" t="n"/>
      <c r="B595" s="15" t="n"/>
      <c r="C595" s="15" t="n"/>
      <c r="D595" s="15" t="n"/>
      <c r="E595" s="15" t="n"/>
      <c r="F595" s="15" t="n"/>
      <c r="G595" s="17" t="n"/>
      <c r="H595" s="17" t="n"/>
      <c r="I595" s="7">
        <f>IF(AND(G595="",H595=""),"",Paramètres!$B$5+SUM(G$5:G595)-SUM(H$5:H595))</f>
        <v/>
      </c>
      <c r="J595" s="12">
        <f>IF(A595="","",MONTH(A595))</f>
        <v/>
      </c>
    </row>
    <row r="596">
      <c r="A596" s="18" t="n"/>
      <c r="B596" s="15" t="n"/>
      <c r="C596" s="15" t="n"/>
      <c r="D596" s="15" t="n"/>
      <c r="E596" s="15" t="n"/>
      <c r="F596" s="15" t="n"/>
      <c r="G596" s="17" t="n"/>
      <c r="H596" s="17" t="n"/>
      <c r="I596" s="7">
        <f>IF(AND(G596="",H596=""),"",Paramètres!$B$5+SUM(G$5:G596)-SUM(H$5:H596))</f>
        <v/>
      </c>
      <c r="J596" s="12">
        <f>IF(A596="","",MONTH(A596))</f>
        <v/>
      </c>
    </row>
    <row r="597">
      <c r="A597" s="18" t="n"/>
      <c r="B597" s="15" t="n"/>
      <c r="C597" s="15" t="n"/>
      <c r="D597" s="15" t="n"/>
      <c r="E597" s="15" t="n"/>
      <c r="F597" s="15" t="n"/>
      <c r="G597" s="17" t="n"/>
      <c r="H597" s="17" t="n"/>
      <c r="I597" s="7">
        <f>IF(AND(G597="",H597=""),"",Paramètres!$B$5+SUM(G$5:G597)-SUM(H$5:H597))</f>
        <v/>
      </c>
      <c r="J597" s="12">
        <f>IF(A597="","",MONTH(A597))</f>
        <v/>
      </c>
    </row>
    <row r="598">
      <c r="A598" s="18" t="n"/>
      <c r="B598" s="15" t="n"/>
      <c r="C598" s="15" t="n"/>
      <c r="D598" s="15" t="n"/>
      <c r="E598" s="15" t="n"/>
      <c r="F598" s="15" t="n"/>
      <c r="G598" s="17" t="n"/>
      <c r="H598" s="17" t="n"/>
      <c r="I598" s="7">
        <f>IF(AND(G598="",H598=""),"",Paramètres!$B$5+SUM(G$5:G598)-SUM(H$5:H598))</f>
        <v/>
      </c>
      <c r="J598" s="12">
        <f>IF(A598="","",MONTH(A598))</f>
        <v/>
      </c>
    </row>
    <row r="599">
      <c r="A599" s="18" t="n"/>
      <c r="B599" s="15" t="n"/>
      <c r="C599" s="15" t="n"/>
      <c r="D599" s="15" t="n"/>
      <c r="E599" s="15" t="n"/>
      <c r="F599" s="15" t="n"/>
      <c r="G599" s="17" t="n"/>
      <c r="H599" s="17" t="n"/>
      <c r="I599" s="7">
        <f>IF(AND(G599="",H599=""),"",Paramètres!$B$5+SUM(G$5:G599)-SUM(H$5:H599))</f>
        <v/>
      </c>
      <c r="J599" s="12">
        <f>IF(A599="","",MONTH(A599))</f>
        <v/>
      </c>
    </row>
    <row r="600">
      <c r="A600" s="18" t="n"/>
      <c r="B600" s="15" t="n"/>
      <c r="C600" s="15" t="n"/>
      <c r="D600" s="15" t="n"/>
      <c r="E600" s="15" t="n"/>
      <c r="F600" s="15" t="n"/>
      <c r="G600" s="17" t="n"/>
      <c r="H600" s="17" t="n"/>
      <c r="I600" s="7">
        <f>IF(AND(G600="",H600=""),"",Paramètres!$B$5+SUM(G$5:G600)-SUM(H$5:H600))</f>
        <v/>
      </c>
      <c r="J600" s="12">
        <f>IF(A600="","",MONTH(A600))</f>
        <v/>
      </c>
    </row>
    <row r="601">
      <c r="A601" s="18" t="n"/>
      <c r="B601" s="15" t="n"/>
      <c r="C601" s="15" t="n"/>
      <c r="D601" s="15" t="n"/>
      <c r="E601" s="15" t="n"/>
      <c r="F601" s="15" t="n"/>
      <c r="G601" s="17" t="n"/>
      <c r="H601" s="17" t="n"/>
      <c r="I601" s="7">
        <f>IF(AND(G601="",H601=""),"",Paramètres!$B$5+SUM(G$5:G601)-SUM(H$5:H601))</f>
        <v/>
      </c>
      <c r="J601" s="12">
        <f>IF(A601="","",MONTH(A601))</f>
        <v/>
      </c>
    </row>
    <row r="602">
      <c r="A602" s="18" t="n"/>
      <c r="B602" s="15" t="n"/>
      <c r="C602" s="15" t="n"/>
      <c r="D602" s="15" t="n"/>
      <c r="E602" s="15" t="n"/>
      <c r="F602" s="15" t="n"/>
      <c r="G602" s="17" t="n"/>
      <c r="H602" s="17" t="n"/>
      <c r="I602" s="7">
        <f>IF(AND(G602="",H602=""),"",Paramètres!$B$5+SUM(G$5:G602)-SUM(H$5:H602))</f>
        <v/>
      </c>
      <c r="J602" s="12">
        <f>IF(A602="","",MONTH(A602))</f>
        <v/>
      </c>
    </row>
    <row r="603">
      <c r="A603" s="18" t="n"/>
      <c r="B603" s="15" t="n"/>
      <c r="C603" s="15" t="n"/>
      <c r="D603" s="15" t="n"/>
      <c r="E603" s="15" t="n"/>
      <c r="F603" s="15" t="n"/>
      <c r="G603" s="17" t="n"/>
      <c r="H603" s="17" t="n"/>
      <c r="I603" s="7">
        <f>IF(AND(G603="",H603=""),"",Paramètres!$B$5+SUM(G$5:G603)-SUM(H$5:H603))</f>
        <v/>
      </c>
      <c r="J603" s="12">
        <f>IF(A603="","",MONTH(A603))</f>
        <v/>
      </c>
    </row>
    <row r="604">
      <c r="A604" s="18" t="n"/>
      <c r="B604" s="15" t="n"/>
      <c r="C604" s="15" t="n"/>
      <c r="D604" s="15" t="n"/>
      <c r="E604" s="15" t="n"/>
      <c r="F604" s="15" t="n"/>
      <c r="G604" s="17" t="n"/>
      <c r="H604" s="17" t="n"/>
      <c r="I604" s="7">
        <f>IF(AND(G604="",H604=""),"",Paramètres!$B$5+SUM(G$5:G604)-SUM(H$5:H604))</f>
        <v/>
      </c>
      <c r="J604" s="12">
        <f>IF(A604="","",MONTH(A604))</f>
        <v/>
      </c>
    </row>
  </sheetData>
  <autoFilter ref="A4:J604"/>
  <dataValidations count="3">
    <dataValidation sqref="C5:C604" showDropDown="0" showInputMessage="0" showErrorMessage="0" allowBlank="1" type="list">
      <formula1>"Entrée,Sortie"</formula1>
    </dataValidation>
    <dataValidation sqref="D5:D604" showDropDown="0" showInputMessage="0" showErrorMessage="0" allowBlank="1" type="list">
      <formula1>=Paramètres!$H$4:$H$17</formula1>
    </dataValidation>
    <dataValidation sqref="F5:F604" showDropDown="0" showInputMessage="0" showErrorMessage="0" allowBlank="1" type="list">
      <formula1>=Paramètres!$F$4:$F$7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  <col width="15" customWidth="1" min="7" max="7"/>
    <col width="40" customWidth="1" min="8" max="8"/>
    <col width="8" customWidth="1" min="9" max="9"/>
  </cols>
  <sheetData>
    <row r="1">
      <c r="A1" s="1" t="inlineStr">
        <is>
          <t>La Tendresse de Ketchup — Clôtures de caisse</t>
        </is>
      </c>
    </row>
    <row r="2">
      <c r="A2" s="2" t="inlineStr">
        <is>
          <t>Reporter chaque soir la fiche de clôture.</t>
        </is>
      </c>
    </row>
    <row r="4" ht="30" customHeight="1">
      <c r="A4" s="5" t="inlineStr">
        <is>
          <t>Date</t>
        </is>
      </c>
      <c r="B4" s="5" t="inlineStr">
        <is>
          <t>Caissier(ère)</t>
        </is>
      </c>
      <c r="C4" s="5" t="inlineStr">
        <is>
          <t>Solde théorique FCFA</t>
        </is>
      </c>
      <c r="D4" s="5" t="inlineStr">
        <is>
          <t>Espèces comptées FCFA</t>
        </is>
      </c>
      <c r="E4" s="5" t="inlineStr">
        <is>
          <t>Écart FCFA</t>
        </is>
      </c>
      <c r="F4" s="5" t="inlineStr">
        <is>
          <t>MoMo / Airtel FCFA</t>
        </is>
      </c>
      <c r="G4" s="5" t="inlineStr">
        <is>
          <t>Versé FCFA</t>
        </is>
      </c>
      <c r="H4" s="5" t="inlineStr">
        <is>
          <t>Explication</t>
        </is>
      </c>
      <c r="I4" s="5" t="inlineStr">
        <is>
          <t>Mois</t>
        </is>
      </c>
    </row>
    <row r="5">
      <c r="A5" s="18" t="n"/>
      <c r="B5" s="15" t="n"/>
      <c r="C5" s="17" t="n"/>
      <c r="D5" s="17" t="n"/>
      <c r="E5" s="7">
        <f>IF(D5="","",D5-C5)</f>
        <v/>
      </c>
      <c r="F5" s="17" t="n"/>
      <c r="G5" s="17" t="n"/>
      <c r="H5" s="15" t="n"/>
      <c r="I5" s="12">
        <f>IF(A5="","",MONTH(A5))</f>
        <v/>
      </c>
    </row>
    <row r="6">
      <c r="A6" s="18" t="n"/>
      <c r="B6" s="15" t="n"/>
      <c r="C6" s="17" t="n"/>
      <c r="D6" s="17" t="n"/>
      <c r="E6" s="7">
        <f>IF(D6="","",D6-C6)</f>
        <v/>
      </c>
      <c r="F6" s="17" t="n"/>
      <c r="G6" s="17" t="n"/>
      <c r="H6" s="15" t="n"/>
      <c r="I6" s="12">
        <f>IF(A6="","",MONTH(A6))</f>
        <v/>
      </c>
    </row>
    <row r="7">
      <c r="A7" s="18" t="n"/>
      <c r="B7" s="15" t="n"/>
      <c r="C7" s="17" t="n"/>
      <c r="D7" s="17" t="n"/>
      <c r="E7" s="7">
        <f>IF(D7="","",D7-C7)</f>
        <v/>
      </c>
      <c r="F7" s="17" t="n"/>
      <c r="G7" s="17" t="n"/>
      <c r="H7" s="15" t="n"/>
      <c r="I7" s="12">
        <f>IF(A7="","",MONTH(A7))</f>
        <v/>
      </c>
    </row>
    <row r="8">
      <c r="A8" s="18" t="n"/>
      <c r="B8" s="15" t="n"/>
      <c r="C8" s="17" t="n"/>
      <c r="D8" s="17" t="n"/>
      <c r="E8" s="7">
        <f>IF(D8="","",D8-C8)</f>
        <v/>
      </c>
      <c r="F8" s="17" t="n"/>
      <c r="G8" s="17" t="n"/>
      <c r="H8" s="15" t="n"/>
      <c r="I8" s="12">
        <f>IF(A8="","",MONTH(A8))</f>
        <v/>
      </c>
    </row>
    <row r="9">
      <c r="A9" s="18" t="n"/>
      <c r="B9" s="15" t="n"/>
      <c r="C9" s="17" t="n"/>
      <c r="D9" s="17" t="n"/>
      <c r="E9" s="7">
        <f>IF(D9="","",D9-C9)</f>
        <v/>
      </c>
      <c r="F9" s="17" t="n"/>
      <c r="G9" s="17" t="n"/>
      <c r="H9" s="15" t="n"/>
      <c r="I9" s="12">
        <f>IF(A9="","",MONTH(A9))</f>
        <v/>
      </c>
    </row>
    <row r="10">
      <c r="A10" s="18" t="n"/>
      <c r="B10" s="15" t="n"/>
      <c r="C10" s="17" t="n"/>
      <c r="D10" s="17" t="n"/>
      <c r="E10" s="7">
        <f>IF(D10="","",D10-C10)</f>
        <v/>
      </c>
      <c r="F10" s="17" t="n"/>
      <c r="G10" s="17" t="n"/>
      <c r="H10" s="15" t="n"/>
      <c r="I10" s="12">
        <f>IF(A10="","",MONTH(A10))</f>
        <v/>
      </c>
    </row>
    <row r="11">
      <c r="A11" s="18" t="n"/>
      <c r="B11" s="15" t="n"/>
      <c r="C11" s="17" t="n"/>
      <c r="D11" s="17" t="n"/>
      <c r="E11" s="7">
        <f>IF(D11="","",D11-C11)</f>
        <v/>
      </c>
      <c r="F11" s="17" t="n"/>
      <c r="G11" s="17" t="n"/>
      <c r="H11" s="15" t="n"/>
      <c r="I11" s="12">
        <f>IF(A11="","",MONTH(A11))</f>
        <v/>
      </c>
    </row>
    <row r="12">
      <c r="A12" s="18" t="n"/>
      <c r="B12" s="15" t="n"/>
      <c r="C12" s="17" t="n"/>
      <c r="D12" s="17" t="n"/>
      <c r="E12" s="7">
        <f>IF(D12="","",D12-C12)</f>
        <v/>
      </c>
      <c r="F12" s="17" t="n"/>
      <c r="G12" s="17" t="n"/>
      <c r="H12" s="15" t="n"/>
      <c r="I12" s="12">
        <f>IF(A12="","",MONTH(A12))</f>
        <v/>
      </c>
    </row>
    <row r="13">
      <c r="A13" s="18" t="n"/>
      <c r="B13" s="15" t="n"/>
      <c r="C13" s="17" t="n"/>
      <c r="D13" s="17" t="n"/>
      <c r="E13" s="7">
        <f>IF(D13="","",D13-C13)</f>
        <v/>
      </c>
      <c r="F13" s="17" t="n"/>
      <c r="G13" s="17" t="n"/>
      <c r="H13" s="15" t="n"/>
      <c r="I13" s="12">
        <f>IF(A13="","",MONTH(A13))</f>
        <v/>
      </c>
    </row>
    <row r="14">
      <c r="A14" s="18" t="n"/>
      <c r="B14" s="15" t="n"/>
      <c r="C14" s="17" t="n"/>
      <c r="D14" s="17" t="n"/>
      <c r="E14" s="7">
        <f>IF(D14="","",D14-C14)</f>
        <v/>
      </c>
      <c r="F14" s="17" t="n"/>
      <c r="G14" s="17" t="n"/>
      <c r="H14" s="15" t="n"/>
      <c r="I14" s="12">
        <f>IF(A14="","",MONTH(A14))</f>
        <v/>
      </c>
    </row>
    <row r="15">
      <c r="A15" s="18" t="n"/>
      <c r="B15" s="15" t="n"/>
      <c r="C15" s="17" t="n"/>
      <c r="D15" s="17" t="n"/>
      <c r="E15" s="7">
        <f>IF(D15="","",D15-C15)</f>
        <v/>
      </c>
      <c r="F15" s="17" t="n"/>
      <c r="G15" s="17" t="n"/>
      <c r="H15" s="15" t="n"/>
      <c r="I15" s="12">
        <f>IF(A15="","",MONTH(A15))</f>
        <v/>
      </c>
    </row>
    <row r="16">
      <c r="A16" s="18" t="n"/>
      <c r="B16" s="15" t="n"/>
      <c r="C16" s="17" t="n"/>
      <c r="D16" s="17" t="n"/>
      <c r="E16" s="7">
        <f>IF(D16="","",D16-C16)</f>
        <v/>
      </c>
      <c r="F16" s="17" t="n"/>
      <c r="G16" s="17" t="n"/>
      <c r="H16" s="15" t="n"/>
      <c r="I16" s="12">
        <f>IF(A16="","",MONTH(A16))</f>
        <v/>
      </c>
    </row>
    <row r="17">
      <c r="A17" s="18" t="n"/>
      <c r="B17" s="15" t="n"/>
      <c r="C17" s="17" t="n"/>
      <c r="D17" s="17" t="n"/>
      <c r="E17" s="7">
        <f>IF(D17="","",D17-C17)</f>
        <v/>
      </c>
      <c r="F17" s="17" t="n"/>
      <c r="G17" s="17" t="n"/>
      <c r="H17" s="15" t="n"/>
      <c r="I17" s="12">
        <f>IF(A17="","",MONTH(A17))</f>
        <v/>
      </c>
    </row>
    <row r="18">
      <c r="A18" s="18" t="n"/>
      <c r="B18" s="15" t="n"/>
      <c r="C18" s="17" t="n"/>
      <c r="D18" s="17" t="n"/>
      <c r="E18" s="7">
        <f>IF(D18="","",D18-C18)</f>
        <v/>
      </c>
      <c r="F18" s="17" t="n"/>
      <c r="G18" s="17" t="n"/>
      <c r="H18" s="15" t="n"/>
      <c r="I18" s="12">
        <f>IF(A18="","",MONTH(A18))</f>
        <v/>
      </c>
    </row>
    <row r="19">
      <c r="A19" s="18" t="n"/>
      <c r="B19" s="15" t="n"/>
      <c r="C19" s="17" t="n"/>
      <c r="D19" s="17" t="n"/>
      <c r="E19" s="7">
        <f>IF(D19="","",D19-C19)</f>
        <v/>
      </c>
      <c r="F19" s="17" t="n"/>
      <c r="G19" s="17" t="n"/>
      <c r="H19" s="15" t="n"/>
      <c r="I19" s="12">
        <f>IF(A19="","",MONTH(A19))</f>
        <v/>
      </c>
    </row>
    <row r="20">
      <c r="A20" s="18" t="n"/>
      <c r="B20" s="15" t="n"/>
      <c r="C20" s="17" t="n"/>
      <c r="D20" s="17" t="n"/>
      <c r="E20" s="7">
        <f>IF(D20="","",D20-C20)</f>
        <v/>
      </c>
      <c r="F20" s="17" t="n"/>
      <c r="G20" s="17" t="n"/>
      <c r="H20" s="15" t="n"/>
      <c r="I20" s="12">
        <f>IF(A20="","",MONTH(A20))</f>
        <v/>
      </c>
    </row>
    <row r="21">
      <c r="A21" s="18" t="n"/>
      <c r="B21" s="15" t="n"/>
      <c r="C21" s="17" t="n"/>
      <c r="D21" s="17" t="n"/>
      <c r="E21" s="7">
        <f>IF(D21="","",D21-C21)</f>
        <v/>
      </c>
      <c r="F21" s="17" t="n"/>
      <c r="G21" s="17" t="n"/>
      <c r="H21" s="15" t="n"/>
      <c r="I21" s="12">
        <f>IF(A21="","",MONTH(A21))</f>
        <v/>
      </c>
    </row>
    <row r="22">
      <c r="A22" s="18" t="n"/>
      <c r="B22" s="15" t="n"/>
      <c r="C22" s="17" t="n"/>
      <c r="D22" s="17" t="n"/>
      <c r="E22" s="7">
        <f>IF(D22="","",D22-C22)</f>
        <v/>
      </c>
      <c r="F22" s="17" t="n"/>
      <c r="G22" s="17" t="n"/>
      <c r="H22" s="15" t="n"/>
      <c r="I22" s="12">
        <f>IF(A22="","",MONTH(A22))</f>
        <v/>
      </c>
    </row>
    <row r="23">
      <c r="A23" s="18" t="n"/>
      <c r="B23" s="15" t="n"/>
      <c r="C23" s="17" t="n"/>
      <c r="D23" s="17" t="n"/>
      <c r="E23" s="7">
        <f>IF(D23="","",D23-C23)</f>
        <v/>
      </c>
      <c r="F23" s="17" t="n"/>
      <c r="G23" s="17" t="n"/>
      <c r="H23" s="15" t="n"/>
      <c r="I23" s="12">
        <f>IF(A23="","",MONTH(A23))</f>
        <v/>
      </c>
    </row>
    <row r="24">
      <c r="A24" s="18" t="n"/>
      <c r="B24" s="15" t="n"/>
      <c r="C24" s="17" t="n"/>
      <c r="D24" s="17" t="n"/>
      <c r="E24" s="7">
        <f>IF(D24="","",D24-C24)</f>
        <v/>
      </c>
      <c r="F24" s="17" t="n"/>
      <c r="G24" s="17" t="n"/>
      <c r="H24" s="15" t="n"/>
      <c r="I24" s="12">
        <f>IF(A24="","",MONTH(A24))</f>
        <v/>
      </c>
    </row>
    <row r="25">
      <c r="A25" s="18" t="n"/>
      <c r="B25" s="15" t="n"/>
      <c r="C25" s="17" t="n"/>
      <c r="D25" s="17" t="n"/>
      <c r="E25" s="7">
        <f>IF(D25="","",D25-C25)</f>
        <v/>
      </c>
      <c r="F25" s="17" t="n"/>
      <c r="G25" s="17" t="n"/>
      <c r="H25" s="15" t="n"/>
      <c r="I25" s="12">
        <f>IF(A25="","",MONTH(A25))</f>
        <v/>
      </c>
    </row>
    <row r="26">
      <c r="A26" s="18" t="n"/>
      <c r="B26" s="15" t="n"/>
      <c r="C26" s="17" t="n"/>
      <c r="D26" s="17" t="n"/>
      <c r="E26" s="7">
        <f>IF(D26="","",D26-C26)</f>
        <v/>
      </c>
      <c r="F26" s="17" t="n"/>
      <c r="G26" s="17" t="n"/>
      <c r="H26" s="15" t="n"/>
      <c r="I26" s="12">
        <f>IF(A26="","",MONTH(A26))</f>
        <v/>
      </c>
    </row>
    <row r="27">
      <c r="A27" s="18" t="n"/>
      <c r="B27" s="15" t="n"/>
      <c r="C27" s="17" t="n"/>
      <c r="D27" s="17" t="n"/>
      <c r="E27" s="7">
        <f>IF(D27="","",D27-C27)</f>
        <v/>
      </c>
      <c r="F27" s="17" t="n"/>
      <c r="G27" s="17" t="n"/>
      <c r="H27" s="15" t="n"/>
      <c r="I27" s="12">
        <f>IF(A27="","",MONTH(A27))</f>
        <v/>
      </c>
    </row>
    <row r="28">
      <c r="A28" s="18" t="n"/>
      <c r="B28" s="15" t="n"/>
      <c r="C28" s="17" t="n"/>
      <c r="D28" s="17" t="n"/>
      <c r="E28" s="7">
        <f>IF(D28="","",D28-C28)</f>
        <v/>
      </c>
      <c r="F28" s="17" t="n"/>
      <c r="G28" s="17" t="n"/>
      <c r="H28" s="15" t="n"/>
      <c r="I28" s="12">
        <f>IF(A28="","",MONTH(A28))</f>
        <v/>
      </c>
    </row>
    <row r="29">
      <c r="A29" s="18" t="n"/>
      <c r="B29" s="15" t="n"/>
      <c r="C29" s="17" t="n"/>
      <c r="D29" s="17" t="n"/>
      <c r="E29" s="7">
        <f>IF(D29="","",D29-C29)</f>
        <v/>
      </c>
      <c r="F29" s="17" t="n"/>
      <c r="G29" s="17" t="n"/>
      <c r="H29" s="15" t="n"/>
      <c r="I29" s="12">
        <f>IF(A29="","",MONTH(A29))</f>
        <v/>
      </c>
    </row>
    <row r="30">
      <c r="A30" s="18" t="n"/>
      <c r="B30" s="15" t="n"/>
      <c r="C30" s="17" t="n"/>
      <c r="D30" s="17" t="n"/>
      <c r="E30" s="7">
        <f>IF(D30="","",D30-C30)</f>
        <v/>
      </c>
      <c r="F30" s="17" t="n"/>
      <c r="G30" s="17" t="n"/>
      <c r="H30" s="15" t="n"/>
      <c r="I30" s="12">
        <f>IF(A30="","",MONTH(A30))</f>
        <v/>
      </c>
    </row>
    <row r="31">
      <c r="A31" s="18" t="n"/>
      <c r="B31" s="15" t="n"/>
      <c r="C31" s="17" t="n"/>
      <c r="D31" s="17" t="n"/>
      <c r="E31" s="7">
        <f>IF(D31="","",D31-C31)</f>
        <v/>
      </c>
      <c r="F31" s="17" t="n"/>
      <c r="G31" s="17" t="n"/>
      <c r="H31" s="15" t="n"/>
      <c r="I31" s="12">
        <f>IF(A31="","",MONTH(A31))</f>
        <v/>
      </c>
    </row>
    <row r="32">
      <c r="A32" s="18" t="n"/>
      <c r="B32" s="15" t="n"/>
      <c r="C32" s="17" t="n"/>
      <c r="D32" s="17" t="n"/>
      <c r="E32" s="7">
        <f>IF(D32="","",D32-C32)</f>
        <v/>
      </c>
      <c r="F32" s="17" t="n"/>
      <c r="G32" s="17" t="n"/>
      <c r="H32" s="15" t="n"/>
      <c r="I32" s="12">
        <f>IF(A32="","",MONTH(A32))</f>
        <v/>
      </c>
    </row>
    <row r="33">
      <c r="A33" s="18" t="n"/>
      <c r="B33" s="15" t="n"/>
      <c r="C33" s="17" t="n"/>
      <c r="D33" s="17" t="n"/>
      <c r="E33" s="7">
        <f>IF(D33="","",D33-C33)</f>
        <v/>
      </c>
      <c r="F33" s="17" t="n"/>
      <c r="G33" s="17" t="n"/>
      <c r="H33" s="15" t="n"/>
      <c r="I33" s="12">
        <f>IF(A33="","",MONTH(A33))</f>
        <v/>
      </c>
    </row>
    <row r="34">
      <c r="A34" s="18" t="n"/>
      <c r="B34" s="15" t="n"/>
      <c r="C34" s="17" t="n"/>
      <c r="D34" s="17" t="n"/>
      <c r="E34" s="7">
        <f>IF(D34="","",D34-C34)</f>
        <v/>
      </c>
      <c r="F34" s="17" t="n"/>
      <c r="G34" s="17" t="n"/>
      <c r="H34" s="15" t="n"/>
      <c r="I34" s="12">
        <f>IF(A34="","",MONTH(A34))</f>
        <v/>
      </c>
    </row>
    <row r="35">
      <c r="A35" s="18" t="n"/>
      <c r="B35" s="15" t="n"/>
      <c r="C35" s="17" t="n"/>
      <c r="D35" s="17" t="n"/>
      <c r="E35" s="7">
        <f>IF(D35="","",D35-C35)</f>
        <v/>
      </c>
      <c r="F35" s="17" t="n"/>
      <c r="G35" s="17" t="n"/>
      <c r="H35" s="15" t="n"/>
      <c r="I35" s="12">
        <f>IF(A35="","",MONTH(A35))</f>
        <v/>
      </c>
    </row>
    <row r="36">
      <c r="A36" s="18" t="n"/>
      <c r="B36" s="15" t="n"/>
      <c r="C36" s="17" t="n"/>
      <c r="D36" s="17" t="n"/>
      <c r="E36" s="7">
        <f>IF(D36="","",D36-C36)</f>
        <v/>
      </c>
      <c r="F36" s="17" t="n"/>
      <c r="G36" s="17" t="n"/>
      <c r="H36" s="15" t="n"/>
      <c r="I36" s="12">
        <f>IF(A36="","",MONTH(A36))</f>
        <v/>
      </c>
    </row>
    <row r="37">
      <c r="A37" s="18" t="n"/>
      <c r="B37" s="15" t="n"/>
      <c r="C37" s="17" t="n"/>
      <c r="D37" s="17" t="n"/>
      <c r="E37" s="7">
        <f>IF(D37="","",D37-C37)</f>
        <v/>
      </c>
      <c r="F37" s="17" t="n"/>
      <c r="G37" s="17" t="n"/>
      <c r="H37" s="15" t="n"/>
      <c r="I37" s="12">
        <f>IF(A37="","",MONTH(A37))</f>
        <v/>
      </c>
    </row>
    <row r="38">
      <c r="A38" s="18" t="n"/>
      <c r="B38" s="15" t="n"/>
      <c r="C38" s="17" t="n"/>
      <c r="D38" s="17" t="n"/>
      <c r="E38" s="7">
        <f>IF(D38="","",D38-C38)</f>
        <v/>
      </c>
      <c r="F38" s="17" t="n"/>
      <c r="G38" s="17" t="n"/>
      <c r="H38" s="15" t="n"/>
      <c r="I38" s="12">
        <f>IF(A38="","",MONTH(A38))</f>
        <v/>
      </c>
    </row>
    <row r="39">
      <c r="A39" s="18" t="n"/>
      <c r="B39" s="15" t="n"/>
      <c r="C39" s="17" t="n"/>
      <c r="D39" s="17" t="n"/>
      <c r="E39" s="7">
        <f>IF(D39="","",D39-C39)</f>
        <v/>
      </c>
      <c r="F39" s="17" t="n"/>
      <c r="G39" s="17" t="n"/>
      <c r="H39" s="15" t="n"/>
      <c r="I39" s="12">
        <f>IF(A39="","",MONTH(A39))</f>
        <v/>
      </c>
    </row>
    <row r="40">
      <c r="A40" s="18" t="n"/>
      <c r="B40" s="15" t="n"/>
      <c r="C40" s="17" t="n"/>
      <c r="D40" s="17" t="n"/>
      <c r="E40" s="7">
        <f>IF(D40="","",D40-C40)</f>
        <v/>
      </c>
      <c r="F40" s="17" t="n"/>
      <c r="G40" s="17" t="n"/>
      <c r="H40" s="15" t="n"/>
      <c r="I40" s="12">
        <f>IF(A40="","",MONTH(A40))</f>
        <v/>
      </c>
    </row>
    <row r="41">
      <c r="A41" s="18" t="n"/>
      <c r="B41" s="15" t="n"/>
      <c r="C41" s="17" t="n"/>
      <c r="D41" s="17" t="n"/>
      <c r="E41" s="7">
        <f>IF(D41="","",D41-C41)</f>
        <v/>
      </c>
      <c r="F41" s="17" t="n"/>
      <c r="G41" s="17" t="n"/>
      <c r="H41" s="15" t="n"/>
      <c r="I41" s="12">
        <f>IF(A41="","",MONTH(A41))</f>
        <v/>
      </c>
    </row>
    <row r="42">
      <c r="A42" s="18" t="n"/>
      <c r="B42" s="15" t="n"/>
      <c r="C42" s="17" t="n"/>
      <c r="D42" s="17" t="n"/>
      <c r="E42" s="7">
        <f>IF(D42="","",D42-C42)</f>
        <v/>
      </c>
      <c r="F42" s="17" t="n"/>
      <c r="G42" s="17" t="n"/>
      <c r="H42" s="15" t="n"/>
      <c r="I42" s="12">
        <f>IF(A42="","",MONTH(A42))</f>
        <v/>
      </c>
    </row>
    <row r="43">
      <c r="A43" s="18" t="n"/>
      <c r="B43" s="15" t="n"/>
      <c r="C43" s="17" t="n"/>
      <c r="D43" s="17" t="n"/>
      <c r="E43" s="7">
        <f>IF(D43="","",D43-C43)</f>
        <v/>
      </c>
      <c r="F43" s="17" t="n"/>
      <c r="G43" s="17" t="n"/>
      <c r="H43" s="15" t="n"/>
      <c r="I43" s="12">
        <f>IF(A43="","",MONTH(A43))</f>
        <v/>
      </c>
    </row>
    <row r="44">
      <c r="A44" s="18" t="n"/>
      <c r="B44" s="15" t="n"/>
      <c r="C44" s="17" t="n"/>
      <c r="D44" s="17" t="n"/>
      <c r="E44" s="7">
        <f>IF(D44="","",D44-C44)</f>
        <v/>
      </c>
      <c r="F44" s="17" t="n"/>
      <c r="G44" s="17" t="n"/>
      <c r="H44" s="15" t="n"/>
      <c r="I44" s="12">
        <f>IF(A44="","",MONTH(A44))</f>
        <v/>
      </c>
    </row>
    <row r="45">
      <c r="A45" s="18" t="n"/>
      <c r="B45" s="15" t="n"/>
      <c r="C45" s="17" t="n"/>
      <c r="D45" s="17" t="n"/>
      <c r="E45" s="7">
        <f>IF(D45="","",D45-C45)</f>
        <v/>
      </c>
      <c r="F45" s="17" t="n"/>
      <c r="G45" s="17" t="n"/>
      <c r="H45" s="15" t="n"/>
      <c r="I45" s="12">
        <f>IF(A45="","",MONTH(A45))</f>
        <v/>
      </c>
    </row>
    <row r="46">
      <c r="A46" s="18" t="n"/>
      <c r="B46" s="15" t="n"/>
      <c r="C46" s="17" t="n"/>
      <c r="D46" s="17" t="n"/>
      <c r="E46" s="7">
        <f>IF(D46="","",D46-C46)</f>
        <v/>
      </c>
      <c r="F46" s="17" t="n"/>
      <c r="G46" s="17" t="n"/>
      <c r="H46" s="15" t="n"/>
      <c r="I46" s="12">
        <f>IF(A46="","",MONTH(A46))</f>
        <v/>
      </c>
    </row>
    <row r="47">
      <c r="A47" s="18" t="n"/>
      <c r="B47" s="15" t="n"/>
      <c r="C47" s="17" t="n"/>
      <c r="D47" s="17" t="n"/>
      <c r="E47" s="7">
        <f>IF(D47="","",D47-C47)</f>
        <v/>
      </c>
      <c r="F47" s="17" t="n"/>
      <c r="G47" s="17" t="n"/>
      <c r="H47" s="15" t="n"/>
      <c r="I47" s="12">
        <f>IF(A47="","",MONTH(A47))</f>
        <v/>
      </c>
    </row>
    <row r="48">
      <c r="A48" s="18" t="n"/>
      <c r="B48" s="15" t="n"/>
      <c r="C48" s="17" t="n"/>
      <c r="D48" s="17" t="n"/>
      <c r="E48" s="7">
        <f>IF(D48="","",D48-C48)</f>
        <v/>
      </c>
      <c r="F48" s="17" t="n"/>
      <c r="G48" s="17" t="n"/>
      <c r="H48" s="15" t="n"/>
      <c r="I48" s="12">
        <f>IF(A48="","",MONTH(A48))</f>
        <v/>
      </c>
    </row>
    <row r="49">
      <c r="A49" s="18" t="n"/>
      <c r="B49" s="15" t="n"/>
      <c r="C49" s="17" t="n"/>
      <c r="D49" s="17" t="n"/>
      <c r="E49" s="7">
        <f>IF(D49="","",D49-C49)</f>
        <v/>
      </c>
      <c r="F49" s="17" t="n"/>
      <c r="G49" s="17" t="n"/>
      <c r="H49" s="15" t="n"/>
      <c r="I49" s="12">
        <f>IF(A49="","",MONTH(A49))</f>
        <v/>
      </c>
    </row>
    <row r="50">
      <c r="A50" s="18" t="n"/>
      <c r="B50" s="15" t="n"/>
      <c r="C50" s="17" t="n"/>
      <c r="D50" s="17" t="n"/>
      <c r="E50" s="7">
        <f>IF(D50="","",D50-C50)</f>
        <v/>
      </c>
      <c r="F50" s="17" t="n"/>
      <c r="G50" s="17" t="n"/>
      <c r="H50" s="15" t="n"/>
      <c r="I50" s="12">
        <f>IF(A50="","",MONTH(A50))</f>
        <v/>
      </c>
    </row>
    <row r="51">
      <c r="A51" s="18" t="n"/>
      <c r="B51" s="15" t="n"/>
      <c r="C51" s="17" t="n"/>
      <c r="D51" s="17" t="n"/>
      <c r="E51" s="7">
        <f>IF(D51="","",D51-C51)</f>
        <v/>
      </c>
      <c r="F51" s="17" t="n"/>
      <c r="G51" s="17" t="n"/>
      <c r="H51" s="15" t="n"/>
      <c r="I51" s="12">
        <f>IF(A51="","",MONTH(A51))</f>
        <v/>
      </c>
    </row>
    <row r="52">
      <c r="A52" s="18" t="n"/>
      <c r="B52" s="15" t="n"/>
      <c r="C52" s="17" t="n"/>
      <c r="D52" s="17" t="n"/>
      <c r="E52" s="7">
        <f>IF(D52="","",D52-C52)</f>
        <v/>
      </c>
      <c r="F52" s="17" t="n"/>
      <c r="G52" s="17" t="n"/>
      <c r="H52" s="15" t="n"/>
      <c r="I52" s="12">
        <f>IF(A52="","",MONTH(A52))</f>
        <v/>
      </c>
    </row>
    <row r="53">
      <c r="A53" s="18" t="n"/>
      <c r="B53" s="15" t="n"/>
      <c r="C53" s="17" t="n"/>
      <c r="D53" s="17" t="n"/>
      <c r="E53" s="7">
        <f>IF(D53="","",D53-C53)</f>
        <v/>
      </c>
      <c r="F53" s="17" t="n"/>
      <c r="G53" s="17" t="n"/>
      <c r="H53" s="15" t="n"/>
      <c r="I53" s="12">
        <f>IF(A53="","",MONTH(A53))</f>
        <v/>
      </c>
    </row>
    <row r="54">
      <c r="A54" s="18" t="n"/>
      <c r="B54" s="15" t="n"/>
      <c r="C54" s="17" t="n"/>
      <c r="D54" s="17" t="n"/>
      <c r="E54" s="7">
        <f>IF(D54="","",D54-C54)</f>
        <v/>
      </c>
      <c r="F54" s="17" t="n"/>
      <c r="G54" s="17" t="n"/>
      <c r="H54" s="15" t="n"/>
      <c r="I54" s="12">
        <f>IF(A54="","",MONTH(A54))</f>
        <v/>
      </c>
    </row>
    <row r="55">
      <c r="A55" s="18" t="n"/>
      <c r="B55" s="15" t="n"/>
      <c r="C55" s="17" t="n"/>
      <c r="D55" s="17" t="n"/>
      <c r="E55" s="7">
        <f>IF(D55="","",D55-C55)</f>
        <v/>
      </c>
      <c r="F55" s="17" t="n"/>
      <c r="G55" s="17" t="n"/>
      <c r="H55" s="15" t="n"/>
      <c r="I55" s="12">
        <f>IF(A55="","",MONTH(A55))</f>
        <v/>
      </c>
    </row>
    <row r="56">
      <c r="A56" s="18" t="n"/>
      <c r="B56" s="15" t="n"/>
      <c r="C56" s="17" t="n"/>
      <c r="D56" s="17" t="n"/>
      <c r="E56" s="7">
        <f>IF(D56="","",D56-C56)</f>
        <v/>
      </c>
      <c r="F56" s="17" t="n"/>
      <c r="G56" s="17" t="n"/>
      <c r="H56" s="15" t="n"/>
      <c r="I56" s="12">
        <f>IF(A56="","",MONTH(A56))</f>
        <v/>
      </c>
    </row>
    <row r="57">
      <c r="A57" s="18" t="n"/>
      <c r="B57" s="15" t="n"/>
      <c r="C57" s="17" t="n"/>
      <c r="D57" s="17" t="n"/>
      <c r="E57" s="7">
        <f>IF(D57="","",D57-C57)</f>
        <v/>
      </c>
      <c r="F57" s="17" t="n"/>
      <c r="G57" s="17" t="n"/>
      <c r="H57" s="15" t="n"/>
      <c r="I57" s="12">
        <f>IF(A57="","",MONTH(A57))</f>
        <v/>
      </c>
    </row>
    <row r="58">
      <c r="A58" s="18" t="n"/>
      <c r="B58" s="15" t="n"/>
      <c r="C58" s="17" t="n"/>
      <c r="D58" s="17" t="n"/>
      <c r="E58" s="7">
        <f>IF(D58="","",D58-C58)</f>
        <v/>
      </c>
      <c r="F58" s="17" t="n"/>
      <c r="G58" s="17" t="n"/>
      <c r="H58" s="15" t="n"/>
      <c r="I58" s="12">
        <f>IF(A58="","",MONTH(A58))</f>
        <v/>
      </c>
    </row>
    <row r="59">
      <c r="A59" s="18" t="n"/>
      <c r="B59" s="15" t="n"/>
      <c r="C59" s="17" t="n"/>
      <c r="D59" s="17" t="n"/>
      <c r="E59" s="7">
        <f>IF(D59="","",D59-C59)</f>
        <v/>
      </c>
      <c r="F59" s="17" t="n"/>
      <c r="G59" s="17" t="n"/>
      <c r="H59" s="15" t="n"/>
      <c r="I59" s="12">
        <f>IF(A59="","",MONTH(A59))</f>
        <v/>
      </c>
    </row>
    <row r="60">
      <c r="A60" s="18" t="n"/>
      <c r="B60" s="15" t="n"/>
      <c r="C60" s="17" t="n"/>
      <c r="D60" s="17" t="n"/>
      <c r="E60" s="7">
        <f>IF(D60="","",D60-C60)</f>
        <v/>
      </c>
      <c r="F60" s="17" t="n"/>
      <c r="G60" s="17" t="n"/>
      <c r="H60" s="15" t="n"/>
      <c r="I60" s="12">
        <f>IF(A60="","",MONTH(A60))</f>
        <v/>
      </c>
    </row>
    <row r="61">
      <c r="A61" s="18" t="n"/>
      <c r="B61" s="15" t="n"/>
      <c r="C61" s="17" t="n"/>
      <c r="D61" s="17" t="n"/>
      <c r="E61" s="7">
        <f>IF(D61="","",D61-C61)</f>
        <v/>
      </c>
      <c r="F61" s="17" t="n"/>
      <c r="G61" s="17" t="n"/>
      <c r="H61" s="15" t="n"/>
      <c r="I61" s="12">
        <f>IF(A61="","",MONTH(A61))</f>
        <v/>
      </c>
    </row>
    <row r="62">
      <c r="A62" s="18" t="n"/>
      <c r="B62" s="15" t="n"/>
      <c r="C62" s="17" t="n"/>
      <c r="D62" s="17" t="n"/>
      <c r="E62" s="7">
        <f>IF(D62="","",D62-C62)</f>
        <v/>
      </c>
      <c r="F62" s="17" t="n"/>
      <c r="G62" s="17" t="n"/>
      <c r="H62" s="15" t="n"/>
      <c r="I62" s="12">
        <f>IF(A62="","",MONTH(A62))</f>
        <v/>
      </c>
    </row>
    <row r="63">
      <c r="A63" s="18" t="n"/>
      <c r="B63" s="15" t="n"/>
      <c r="C63" s="17" t="n"/>
      <c r="D63" s="17" t="n"/>
      <c r="E63" s="7">
        <f>IF(D63="","",D63-C63)</f>
        <v/>
      </c>
      <c r="F63" s="17" t="n"/>
      <c r="G63" s="17" t="n"/>
      <c r="H63" s="15" t="n"/>
      <c r="I63" s="12">
        <f>IF(A63="","",MONTH(A63))</f>
        <v/>
      </c>
    </row>
    <row r="64">
      <c r="A64" s="18" t="n"/>
      <c r="B64" s="15" t="n"/>
      <c r="C64" s="17" t="n"/>
      <c r="D64" s="17" t="n"/>
      <c r="E64" s="7">
        <f>IF(D64="","",D64-C64)</f>
        <v/>
      </c>
      <c r="F64" s="17" t="n"/>
      <c r="G64" s="17" t="n"/>
      <c r="H64" s="15" t="n"/>
      <c r="I64" s="12">
        <f>IF(A64="","",MONTH(A64))</f>
        <v/>
      </c>
    </row>
    <row r="65">
      <c r="A65" s="18" t="n"/>
      <c r="B65" s="15" t="n"/>
      <c r="C65" s="17" t="n"/>
      <c r="D65" s="17" t="n"/>
      <c r="E65" s="7">
        <f>IF(D65="","",D65-C65)</f>
        <v/>
      </c>
      <c r="F65" s="17" t="n"/>
      <c r="G65" s="17" t="n"/>
      <c r="H65" s="15" t="n"/>
      <c r="I65" s="12">
        <f>IF(A65="","",MONTH(A65))</f>
        <v/>
      </c>
    </row>
    <row r="66">
      <c r="A66" s="18" t="n"/>
      <c r="B66" s="15" t="n"/>
      <c r="C66" s="17" t="n"/>
      <c r="D66" s="17" t="n"/>
      <c r="E66" s="7">
        <f>IF(D66="","",D66-C66)</f>
        <v/>
      </c>
      <c r="F66" s="17" t="n"/>
      <c r="G66" s="17" t="n"/>
      <c r="H66" s="15" t="n"/>
      <c r="I66" s="12">
        <f>IF(A66="","",MONTH(A66))</f>
        <v/>
      </c>
    </row>
    <row r="67">
      <c r="A67" s="18" t="n"/>
      <c r="B67" s="15" t="n"/>
      <c r="C67" s="17" t="n"/>
      <c r="D67" s="17" t="n"/>
      <c r="E67" s="7">
        <f>IF(D67="","",D67-C67)</f>
        <v/>
      </c>
      <c r="F67" s="17" t="n"/>
      <c r="G67" s="17" t="n"/>
      <c r="H67" s="15" t="n"/>
      <c r="I67" s="12">
        <f>IF(A67="","",MONTH(A67))</f>
        <v/>
      </c>
    </row>
    <row r="68">
      <c r="A68" s="18" t="n"/>
      <c r="B68" s="15" t="n"/>
      <c r="C68" s="17" t="n"/>
      <c r="D68" s="17" t="n"/>
      <c r="E68" s="7">
        <f>IF(D68="","",D68-C68)</f>
        <v/>
      </c>
      <c r="F68" s="17" t="n"/>
      <c r="G68" s="17" t="n"/>
      <c r="H68" s="15" t="n"/>
      <c r="I68" s="12">
        <f>IF(A68="","",MONTH(A68))</f>
        <v/>
      </c>
    </row>
    <row r="69">
      <c r="A69" s="18" t="n"/>
      <c r="B69" s="15" t="n"/>
      <c r="C69" s="17" t="n"/>
      <c r="D69" s="17" t="n"/>
      <c r="E69" s="7">
        <f>IF(D69="","",D69-C69)</f>
        <v/>
      </c>
      <c r="F69" s="17" t="n"/>
      <c r="G69" s="17" t="n"/>
      <c r="H69" s="15" t="n"/>
      <c r="I69" s="12">
        <f>IF(A69="","",MONTH(A69))</f>
        <v/>
      </c>
    </row>
    <row r="70">
      <c r="A70" s="18" t="n"/>
      <c r="B70" s="15" t="n"/>
      <c r="C70" s="17" t="n"/>
      <c r="D70" s="17" t="n"/>
      <c r="E70" s="7">
        <f>IF(D70="","",D70-C70)</f>
        <v/>
      </c>
      <c r="F70" s="17" t="n"/>
      <c r="G70" s="17" t="n"/>
      <c r="H70" s="15" t="n"/>
      <c r="I70" s="12">
        <f>IF(A70="","",MONTH(A70))</f>
        <v/>
      </c>
    </row>
    <row r="71">
      <c r="A71" s="18" t="n"/>
      <c r="B71" s="15" t="n"/>
      <c r="C71" s="17" t="n"/>
      <c r="D71" s="17" t="n"/>
      <c r="E71" s="7">
        <f>IF(D71="","",D71-C71)</f>
        <v/>
      </c>
      <c r="F71" s="17" t="n"/>
      <c r="G71" s="17" t="n"/>
      <c r="H71" s="15" t="n"/>
      <c r="I71" s="12">
        <f>IF(A71="","",MONTH(A71))</f>
        <v/>
      </c>
    </row>
    <row r="72">
      <c r="A72" s="18" t="n"/>
      <c r="B72" s="15" t="n"/>
      <c r="C72" s="17" t="n"/>
      <c r="D72" s="17" t="n"/>
      <c r="E72" s="7">
        <f>IF(D72="","",D72-C72)</f>
        <v/>
      </c>
      <c r="F72" s="17" t="n"/>
      <c r="G72" s="17" t="n"/>
      <c r="H72" s="15" t="n"/>
      <c r="I72" s="12">
        <f>IF(A72="","",MONTH(A72))</f>
        <v/>
      </c>
    </row>
    <row r="73">
      <c r="A73" s="18" t="n"/>
      <c r="B73" s="15" t="n"/>
      <c r="C73" s="17" t="n"/>
      <c r="D73" s="17" t="n"/>
      <c r="E73" s="7">
        <f>IF(D73="","",D73-C73)</f>
        <v/>
      </c>
      <c r="F73" s="17" t="n"/>
      <c r="G73" s="17" t="n"/>
      <c r="H73" s="15" t="n"/>
      <c r="I73" s="12">
        <f>IF(A73="","",MONTH(A73))</f>
        <v/>
      </c>
    </row>
    <row r="74">
      <c r="A74" s="18" t="n"/>
      <c r="B74" s="15" t="n"/>
      <c r="C74" s="17" t="n"/>
      <c r="D74" s="17" t="n"/>
      <c r="E74" s="7">
        <f>IF(D74="","",D74-C74)</f>
        <v/>
      </c>
      <c r="F74" s="17" t="n"/>
      <c r="G74" s="17" t="n"/>
      <c r="H74" s="15" t="n"/>
      <c r="I74" s="12">
        <f>IF(A74="","",MONTH(A74))</f>
        <v/>
      </c>
    </row>
    <row r="75">
      <c r="A75" s="18" t="n"/>
      <c r="B75" s="15" t="n"/>
      <c r="C75" s="17" t="n"/>
      <c r="D75" s="17" t="n"/>
      <c r="E75" s="7">
        <f>IF(D75="","",D75-C75)</f>
        <v/>
      </c>
      <c r="F75" s="17" t="n"/>
      <c r="G75" s="17" t="n"/>
      <c r="H75" s="15" t="n"/>
      <c r="I75" s="12">
        <f>IF(A75="","",MONTH(A75))</f>
        <v/>
      </c>
    </row>
    <row r="76">
      <c r="A76" s="18" t="n"/>
      <c r="B76" s="15" t="n"/>
      <c r="C76" s="17" t="n"/>
      <c r="D76" s="17" t="n"/>
      <c r="E76" s="7">
        <f>IF(D76="","",D76-C76)</f>
        <v/>
      </c>
      <c r="F76" s="17" t="n"/>
      <c r="G76" s="17" t="n"/>
      <c r="H76" s="15" t="n"/>
      <c r="I76" s="12">
        <f>IF(A76="","",MONTH(A76))</f>
        <v/>
      </c>
    </row>
    <row r="77">
      <c r="A77" s="18" t="n"/>
      <c r="B77" s="15" t="n"/>
      <c r="C77" s="17" t="n"/>
      <c r="D77" s="17" t="n"/>
      <c r="E77" s="7">
        <f>IF(D77="","",D77-C77)</f>
        <v/>
      </c>
      <c r="F77" s="17" t="n"/>
      <c r="G77" s="17" t="n"/>
      <c r="H77" s="15" t="n"/>
      <c r="I77" s="12">
        <f>IF(A77="","",MONTH(A77))</f>
        <v/>
      </c>
    </row>
    <row r="78">
      <c r="A78" s="18" t="n"/>
      <c r="B78" s="15" t="n"/>
      <c r="C78" s="17" t="n"/>
      <c r="D78" s="17" t="n"/>
      <c r="E78" s="7">
        <f>IF(D78="","",D78-C78)</f>
        <v/>
      </c>
      <c r="F78" s="17" t="n"/>
      <c r="G78" s="17" t="n"/>
      <c r="H78" s="15" t="n"/>
      <c r="I78" s="12">
        <f>IF(A78="","",MONTH(A78))</f>
        <v/>
      </c>
    </row>
    <row r="79">
      <c r="A79" s="18" t="n"/>
      <c r="B79" s="15" t="n"/>
      <c r="C79" s="17" t="n"/>
      <c r="D79" s="17" t="n"/>
      <c r="E79" s="7">
        <f>IF(D79="","",D79-C79)</f>
        <v/>
      </c>
      <c r="F79" s="17" t="n"/>
      <c r="G79" s="17" t="n"/>
      <c r="H79" s="15" t="n"/>
      <c r="I79" s="12">
        <f>IF(A79="","",MONTH(A79))</f>
        <v/>
      </c>
    </row>
    <row r="80">
      <c r="A80" s="18" t="n"/>
      <c r="B80" s="15" t="n"/>
      <c r="C80" s="17" t="n"/>
      <c r="D80" s="17" t="n"/>
      <c r="E80" s="7">
        <f>IF(D80="","",D80-C80)</f>
        <v/>
      </c>
      <c r="F80" s="17" t="n"/>
      <c r="G80" s="17" t="n"/>
      <c r="H80" s="15" t="n"/>
      <c r="I80" s="12">
        <f>IF(A80="","",MONTH(A80))</f>
        <v/>
      </c>
    </row>
    <row r="81">
      <c r="A81" s="18" t="n"/>
      <c r="B81" s="15" t="n"/>
      <c r="C81" s="17" t="n"/>
      <c r="D81" s="17" t="n"/>
      <c r="E81" s="7">
        <f>IF(D81="","",D81-C81)</f>
        <v/>
      </c>
      <c r="F81" s="17" t="n"/>
      <c r="G81" s="17" t="n"/>
      <c r="H81" s="15" t="n"/>
      <c r="I81" s="12">
        <f>IF(A81="","",MONTH(A81))</f>
        <v/>
      </c>
    </row>
    <row r="82">
      <c r="A82" s="18" t="n"/>
      <c r="B82" s="15" t="n"/>
      <c r="C82" s="17" t="n"/>
      <c r="D82" s="17" t="n"/>
      <c r="E82" s="7">
        <f>IF(D82="","",D82-C82)</f>
        <v/>
      </c>
      <c r="F82" s="17" t="n"/>
      <c r="G82" s="17" t="n"/>
      <c r="H82" s="15" t="n"/>
      <c r="I82" s="12">
        <f>IF(A82="","",MONTH(A82))</f>
        <v/>
      </c>
    </row>
    <row r="83">
      <c r="A83" s="18" t="n"/>
      <c r="B83" s="15" t="n"/>
      <c r="C83" s="17" t="n"/>
      <c r="D83" s="17" t="n"/>
      <c r="E83" s="7">
        <f>IF(D83="","",D83-C83)</f>
        <v/>
      </c>
      <c r="F83" s="17" t="n"/>
      <c r="G83" s="17" t="n"/>
      <c r="H83" s="15" t="n"/>
      <c r="I83" s="12">
        <f>IF(A83="","",MONTH(A83))</f>
        <v/>
      </c>
    </row>
    <row r="84">
      <c r="A84" s="18" t="n"/>
      <c r="B84" s="15" t="n"/>
      <c r="C84" s="17" t="n"/>
      <c r="D84" s="17" t="n"/>
      <c r="E84" s="7">
        <f>IF(D84="","",D84-C84)</f>
        <v/>
      </c>
      <c r="F84" s="17" t="n"/>
      <c r="G84" s="17" t="n"/>
      <c r="H84" s="15" t="n"/>
      <c r="I84" s="12">
        <f>IF(A84="","",MONTH(A84))</f>
        <v/>
      </c>
    </row>
    <row r="85">
      <c r="A85" s="18" t="n"/>
      <c r="B85" s="15" t="n"/>
      <c r="C85" s="17" t="n"/>
      <c r="D85" s="17" t="n"/>
      <c r="E85" s="7">
        <f>IF(D85="","",D85-C85)</f>
        <v/>
      </c>
      <c r="F85" s="17" t="n"/>
      <c r="G85" s="17" t="n"/>
      <c r="H85" s="15" t="n"/>
      <c r="I85" s="12">
        <f>IF(A85="","",MONTH(A85))</f>
        <v/>
      </c>
    </row>
    <row r="86">
      <c r="A86" s="18" t="n"/>
      <c r="B86" s="15" t="n"/>
      <c r="C86" s="17" t="n"/>
      <c r="D86" s="17" t="n"/>
      <c r="E86" s="7">
        <f>IF(D86="","",D86-C86)</f>
        <v/>
      </c>
      <c r="F86" s="17" t="n"/>
      <c r="G86" s="17" t="n"/>
      <c r="H86" s="15" t="n"/>
      <c r="I86" s="12">
        <f>IF(A86="","",MONTH(A86))</f>
        <v/>
      </c>
    </row>
    <row r="87">
      <c r="A87" s="18" t="n"/>
      <c r="B87" s="15" t="n"/>
      <c r="C87" s="17" t="n"/>
      <c r="D87" s="17" t="n"/>
      <c r="E87" s="7">
        <f>IF(D87="","",D87-C87)</f>
        <v/>
      </c>
      <c r="F87" s="17" t="n"/>
      <c r="G87" s="17" t="n"/>
      <c r="H87" s="15" t="n"/>
      <c r="I87" s="12">
        <f>IF(A87="","",MONTH(A87))</f>
        <v/>
      </c>
    </row>
    <row r="88">
      <c r="A88" s="18" t="n"/>
      <c r="B88" s="15" t="n"/>
      <c r="C88" s="17" t="n"/>
      <c r="D88" s="17" t="n"/>
      <c r="E88" s="7">
        <f>IF(D88="","",D88-C88)</f>
        <v/>
      </c>
      <c r="F88" s="17" t="n"/>
      <c r="G88" s="17" t="n"/>
      <c r="H88" s="15" t="n"/>
      <c r="I88" s="12">
        <f>IF(A88="","",MONTH(A88))</f>
        <v/>
      </c>
    </row>
    <row r="89">
      <c r="A89" s="18" t="n"/>
      <c r="B89" s="15" t="n"/>
      <c r="C89" s="17" t="n"/>
      <c r="D89" s="17" t="n"/>
      <c r="E89" s="7">
        <f>IF(D89="","",D89-C89)</f>
        <v/>
      </c>
      <c r="F89" s="17" t="n"/>
      <c r="G89" s="17" t="n"/>
      <c r="H89" s="15" t="n"/>
      <c r="I89" s="12">
        <f>IF(A89="","",MONTH(A89))</f>
        <v/>
      </c>
    </row>
    <row r="90">
      <c r="A90" s="18" t="n"/>
      <c r="B90" s="15" t="n"/>
      <c r="C90" s="17" t="n"/>
      <c r="D90" s="17" t="n"/>
      <c r="E90" s="7">
        <f>IF(D90="","",D90-C90)</f>
        <v/>
      </c>
      <c r="F90" s="17" t="n"/>
      <c r="G90" s="17" t="n"/>
      <c r="H90" s="15" t="n"/>
      <c r="I90" s="12">
        <f>IF(A90="","",MONTH(A90))</f>
        <v/>
      </c>
    </row>
    <row r="91">
      <c r="A91" s="18" t="n"/>
      <c r="B91" s="15" t="n"/>
      <c r="C91" s="17" t="n"/>
      <c r="D91" s="17" t="n"/>
      <c r="E91" s="7">
        <f>IF(D91="","",D91-C91)</f>
        <v/>
      </c>
      <c r="F91" s="17" t="n"/>
      <c r="G91" s="17" t="n"/>
      <c r="H91" s="15" t="n"/>
      <c r="I91" s="12">
        <f>IF(A91="","",MONTH(A91))</f>
        <v/>
      </c>
    </row>
    <row r="92">
      <c r="A92" s="18" t="n"/>
      <c r="B92" s="15" t="n"/>
      <c r="C92" s="17" t="n"/>
      <c r="D92" s="17" t="n"/>
      <c r="E92" s="7">
        <f>IF(D92="","",D92-C92)</f>
        <v/>
      </c>
      <c r="F92" s="17" t="n"/>
      <c r="G92" s="17" t="n"/>
      <c r="H92" s="15" t="n"/>
      <c r="I92" s="12">
        <f>IF(A92="","",MONTH(A92))</f>
        <v/>
      </c>
    </row>
    <row r="93">
      <c r="A93" s="18" t="n"/>
      <c r="B93" s="15" t="n"/>
      <c r="C93" s="17" t="n"/>
      <c r="D93" s="17" t="n"/>
      <c r="E93" s="7">
        <f>IF(D93="","",D93-C93)</f>
        <v/>
      </c>
      <c r="F93" s="17" t="n"/>
      <c r="G93" s="17" t="n"/>
      <c r="H93" s="15" t="n"/>
      <c r="I93" s="12">
        <f>IF(A93="","",MONTH(A93))</f>
        <v/>
      </c>
    </row>
    <row r="94">
      <c r="A94" s="18" t="n"/>
      <c r="B94" s="15" t="n"/>
      <c r="C94" s="17" t="n"/>
      <c r="D94" s="17" t="n"/>
      <c r="E94" s="7">
        <f>IF(D94="","",D94-C94)</f>
        <v/>
      </c>
      <c r="F94" s="17" t="n"/>
      <c r="G94" s="17" t="n"/>
      <c r="H94" s="15" t="n"/>
      <c r="I94" s="12">
        <f>IF(A94="","",MONTH(A94))</f>
        <v/>
      </c>
    </row>
    <row r="95">
      <c r="A95" s="18" t="n"/>
      <c r="B95" s="15" t="n"/>
      <c r="C95" s="17" t="n"/>
      <c r="D95" s="17" t="n"/>
      <c r="E95" s="7">
        <f>IF(D95="","",D95-C95)</f>
        <v/>
      </c>
      <c r="F95" s="17" t="n"/>
      <c r="G95" s="17" t="n"/>
      <c r="H95" s="15" t="n"/>
      <c r="I95" s="12">
        <f>IF(A95="","",MONTH(A95))</f>
        <v/>
      </c>
    </row>
    <row r="96">
      <c r="A96" s="18" t="n"/>
      <c r="B96" s="15" t="n"/>
      <c r="C96" s="17" t="n"/>
      <c r="D96" s="17" t="n"/>
      <c r="E96" s="7">
        <f>IF(D96="","",D96-C96)</f>
        <v/>
      </c>
      <c r="F96" s="17" t="n"/>
      <c r="G96" s="17" t="n"/>
      <c r="H96" s="15" t="n"/>
      <c r="I96" s="12">
        <f>IF(A96="","",MONTH(A96))</f>
        <v/>
      </c>
    </row>
    <row r="97">
      <c r="A97" s="18" t="n"/>
      <c r="B97" s="15" t="n"/>
      <c r="C97" s="17" t="n"/>
      <c r="D97" s="17" t="n"/>
      <c r="E97" s="7">
        <f>IF(D97="","",D97-C97)</f>
        <v/>
      </c>
      <c r="F97" s="17" t="n"/>
      <c r="G97" s="17" t="n"/>
      <c r="H97" s="15" t="n"/>
      <c r="I97" s="12">
        <f>IF(A97="","",MONTH(A97))</f>
        <v/>
      </c>
    </row>
    <row r="98">
      <c r="A98" s="18" t="n"/>
      <c r="B98" s="15" t="n"/>
      <c r="C98" s="17" t="n"/>
      <c r="D98" s="17" t="n"/>
      <c r="E98" s="7">
        <f>IF(D98="","",D98-C98)</f>
        <v/>
      </c>
      <c r="F98" s="17" t="n"/>
      <c r="G98" s="17" t="n"/>
      <c r="H98" s="15" t="n"/>
      <c r="I98" s="12">
        <f>IF(A98="","",MONTH(A98))</f>
        <v/>
      </c>
    </row>
    <row r="99">
      <c r="A99" s="18" t="n"/>
      <c r="B99" s="15" t="n"/>
      <c r="C99" s="17" t="n"/>
      <c r="D99" s="17" t="n"/>
      <c r="E99" s="7">
        <f>IF(D99="","",D99-C99)</f>
        <v/>
      </c>
      <c r="F99" s="17" t="n"/>
      <c r="G99" s="17" t="n"/>
      <c r="H99" s="15" t="n"/>
      <c r="I99" s="12">
        <f>IF(A99="","",MONTH(A99))</f>
        <v/>
      </c>
    </row>
    <row r="100">
      <c r="A100" s="18" t="n"/>
      <c r="B100" s="15" t="n"/>
      <c r="C100" s="17" t="n"/>
      <c r="D100" s="17" t="n"/>
      <c r="E100" s="7">
        <f>IF(D100="","",D100-C100)</f>
        <v/>
      </c>
      <c r="F100" s="17" t="n"/>
      <c r="G100" s="17" t="n"/>
      <c r="H100" s="15" t="n"/>
      <c r="I100" s="12">
        <f>IF(A100="","",MONTH(A100))</f>
        <v/>
      </c>
    </row>
    <row r="101">
      <c r="A101" s="18" t="n"/>
      <c r="B101" s="15" t="n"/>
      <c r="C101" s="17" t="n"/>
      <c r="D101" s="17" t="n"/>
      <c r="E101" s="7">
        <f>IF(D101="","",D101-C101)</f>
        <v/>
      </c>
      <c r="F101" s="17" t="n"/>
      <c r="G101" s="17" t="n"/>
      <c r="H101" s="15" t="n"/>
      <c r="I101" s="12">
        <f>IF(A101="","",MONTH(A101))</f>
        <v/>
      </c>
    </row>
    <row r="102">
      <c r="A102" s="18" t="n"/>
      <c r="B102" s="15" t="n"/>
      <c r="C102" s="17" t="n"/>
      <c r="D102" s="17" t="n"/>
      <c r="E102" s="7">
        <f>IF(D102="","",D102-C102)</f>
        <v/>
      </c>
      <c r="F102" s="17" t="n"/>
      <c r="G102" s="17" t="n"/>
      <c r="H102" s="15" t="n"/>
      <c r="I102" s="12">
        <f>IF(A102="","",MONTH(A102))</f>
        <v/>
      </c>
    </row>
    <row r="103">
      <c r="A103" s="18" t="n"/>
      <c r="B103" s="15" t="n"/>
      <c r="C103" s="17" t="n"/>
      <c r="D103" s="17" t="n"/>
      <c r="E103" s="7">
        <f>IF(D103="","",D103-C103)</f>
        <v/>
      </c>
      <c r="F103" s="17" t="n"/>
      <c r="G103" s="17" t="n"/>
      <c r="H103" s="15" t="n"/>
      <c r="I103" s="12">
        <f>IF(A103="","",MONTH(A103))</f>
        <v/>
      </c>
    </row>
    <row r="104">
      <c r="A104" s="18" t="n"/>
      <c r="B104" s="15" t="n"/>
      <c r="C104" s="17" t="n"/>
      <c r="D104" s="17" t="n"/>
      <c r="E104" s="7">
        <f>IF(D104="","",D104-C104)</f>
        <v/>
      </c>
      <c r="F104" s="17" t="n"/>
      <c r="G104" s="17" t="n"/>
      <c r="H104" s="15" t="n"/>
      <c r="I104" s="12">
        <f>IF(A104="","",MONTH(A104))</f>
        <v/>
      </c>
    </row>
    <row r="105">
      <c r="A105" s="18" t="n"/>
      <c r="B105" s="15" t="n"/>
      <c r="C105" s="17" t="n"/>
      <c r="D105" s="17" t="n"/>
      <c r="E105" s="7">
        <f>IF(D105="","",D105-C105)</f>
        <v/>
      </c>
      <c r="F105" s="17" t="n"/>
      <c r="G105" s="17" t="n"/>
      <c r="H105" s="15" t="n"/>
      <c r="I105" s="12">
        <f>IF(A105="","",MONTH(A105))</f>
        <v/>
      </c>
    </row>
    <row r="106">
      <c r="A106" s="18" t="n"/>
      <c r="B106" s="15" t="n"/>
      <c r="C106" s="17" t="n"/>
      <c r="D106" s="17" t="n"/>
      <c r="E106" s="7">
        <f>IF(D106="","",D106-C106)</f>
        <v/>
      </c>
      <c r="F106" s="17" t="n"/>
      <c r="G106" s="17" t="n"/>
      <c r="H106" s="15" t="n"/>
      <c r="I106" s="12">
        <f>IF(A106="","",MONTH(A106))</f>
        <v/>
      </c>
    </row>
    <row r="107">
      <c r="A107" s="18" t="n"/>
      <c r="B107" s="15" t="n"/>
      <c r="C107" s="17" t="n"/>
      <c r="D107" s="17" t="n"/>
      <c r="E107" s="7">
        <f>IF(D107="","",D107-C107)</f>
        <v/>
      </c>
      <c r="F107" s="17" t="n"/>
      <c r="G107" s="17" t="n"/>
      <c r="H107" s="15" t="n"/>
      <c r="I107" s="12">
        <f>IF(A107="","",MONTH(A107))</f>
        <v/>
      </c>
    </row>
    <row r="108">
      <c r="A108" s="18" t="n"/>
      <c r="B108" s="15" t="n"/>
      <c r="C108" s="17" t="n"/>
      <c r="D108" s="17" t="n"/>
      <c r="E108" s="7">
        <f>IF(D108="","",D108-C108)</f>
        <v/>
      </c>
      <c r="F108" s="17" t="n"/>
      <c r="G108" s="17" t="n"/>
      <c r="H108" s="15" t="n"/>
      <c r="I108" s="12">
        <f>IF(A108="","",MONTH(A108))</f>
        <v/>
      </c>
    </row>
    <row r="109">
      <c r="A109" s="18" t="n"/>
      <c r="B109" s="15" t="n"/>
      <c r="C109" s="17" t="n"/>
      <c r="D109" s="17" t="n"/>
      <c r="E109" s="7">
        <f>IF(D109="","",D109-C109)</f>
        <v/>
      </c>
      <c r="F109" s="17" t="n"/>
      <c r="G109" s="17" t="n"/>
      <c r="H109" s="15" t="n"/>
      <c r="I109" s="12">
        <f>IF(A109="","",MONTH(A109))</f>
        <v/>
      </c>
    </row>
    <row r="110">
      <c r="A110" s="18" t="n"/>
      <c r="B110" s="15" t="n"/>
      <c r="C110" s="17" t="n"/>
      <c r="D110" s="17" t="n"/>
      <c r="E110" s="7">
        <f>IF(D110="","",D110-C110)</f>
        <v/>
      </c>
      <c r="F110" s="17" t="n"/>
      <c r="G110" s="17" t="n"/>
      <c r="H110" s="15" t="n"/>
      <c r="I110" s="12">
        <f>IF(A110="","",MONTH(A110))</f>
        <v/>
      </c>
    </row>
    <row r="111">
      <c r="A111" s="18" t="n"/>
      <c r="B111" s="15" t="n"/>
      <c r="C111" s="17" t="n"/>
      <c r="D111" s="17" t="n"/>
      <c r="E111" s="7">
        <f>IF(D111="","",D111-C111)</f>
        <v/>
      </c>
      <c r="F111" s="17" t="n"/>
      <c r="G111" s="17" t="n"/>
      <c r="H111" s="15" t="n"/>
      <c r="I111" s="12">
        <f>IF(A111="","",MONTH(A111))</f>
        <v/>
      </c>
    </row>
    <row r="112">
      <c r="A112" s="18" t="n"/>
      <c r="B112" s="15" t="n"/>
      <c r="C112" s="17" t="n"/>
      <c r="D112" s="17" t="n"/>
      <c r="E112" s="7">
        <f>IF(D112="","",D112-C112)</f>
        <v/>
      </c>
      <c r="F112" s="17" t="n"/>
      <c r="G112" s="17" t="n"/>
      <c r="H112" s="15" t="n"/>
      <c r="I112" s="12">
        <f>IF(A112="","",MONTH(A112))</f>
        <v/>
      </c>
    </row>
    <row r="113">
      <c r="A113" s="18" t="n"/>
      <c r="B113" s="15" t="n"/>
      <c r="C113" s="17" t="n"/>
      <c r="D113" s="17" t="n"/>
      <c r="E113" s="7">
        <f>IF(D113="","",D113-C113)</f>
        <v/>
      </c>
      <c r="F113" s="17" t="n"/>
      <c r="G113" s="17" t="n"/>
      <c r="H113" s="15" t="n"/>
      <c r="I113" s="12">
        <f>IF(A113="","",MONTH(A113))</f>
        <v/>
      </c>
    </row>
    <row r="114">
      <c r="A114" s="18" t="n"/>
      <c r="B114" s="15" t="n"/>
      <c r="C114" s="17" t="n"/>
      <c r="D114" s="17" t="n"/>
      <c r="E114" s="7">
        <f>IF(D114="","",D114-C114)</f>
        <v/>
      </c>
      <c r="F114" s="17" t="n"/>
      <c r="G114" s="17" t="n"/>
      <c r="H114" s="15" t="n"/>
      <c r="I114" s="12">
        <f>IF(A114="","",MONTH(A114))</f>
        <v/>
      </c>
    </row>
    <row r="115">
      <c r="A115" s="18" t="n"/>
      <c r="B115" s="15" t="n"/>
      <c r="C115" s="17" t="n"/>
      <c r="D115" s="17" t="n"/>
      <c r="E115" s="7">
        <f>IF(D115="","",D115-C115)</f>
        <v/>
      </c>
      <c r="F115" s="17" t="n"/>
      <c r="G115" s="17" t="n"/>
      <c r="H115" s="15" t="n"/>
      <c r="I115" s="12">
        <f>IF(A115="","",MONTH(A115))</f>
        <v/>
      </c>
    </row>
    <row r="116">
      <c r="A116" s="18" t="n"/>
      <c r="B116" s="15" t="n"/>
      <c r="C116" s="17" t="n"/>
      <c r="D116" s="17" t="n"/>
      <c r="E116" s="7">
        <f>IF(D116="","",D116-C116)</f>
        <v/>
      </c>
      <c r="F116" s="17" t="n"/>
      <c r="G116" s="17" t="n"/>
      <c r="H116" s="15" t="n"/>
      <c r="I116" s="12">
        <f>IF(A116="","",MONTH(A116))</f>
        <v/>
      </c>
    </row>
    <row r="117">
      <c r="A117" s="18" t="n"/>
      <c r="B117" s="15" t="n"/>
      <c r="C117" s="17" t="n"/>
      <c r="D117" s="17" t="n"/>
      <c r="E117" s="7">
        <f>IF(D117="","",D117-C117)</f>
        <v/>
      </c>
      <c r="F117" s="17" t="n"/>
      <c r="G117" s="17" t="n"/>
      <c r="H117" s="15" t="n"/>
      <c r="I117" s="12">
        <f>IF(A117="","",MONTH(A117))</f>
        <v/>
      </c>
    </row>
    <row r="118">
      <c r="A118" s="18" t="n"/>
      <c r="B118" s="15" t="n"/>
      <c r="C118" s="17" t="n"/>
      <c r="D118" s="17" t="n"/>
      <c r="E118" s="7">
        <f>IF(D118="","",D118-C118)</f>
        <v/>
      </c>
      <c r="F118" s="17" t="n"/>
      <c r="G118" s="17" t="n"/>
      <c r="H118" s="15" t="n"/>
      <c r="I118" s="12">
        <f>IF(A118="","",MONTH(A118))</f>
        <v/>
      </c>
    </row>
    <row r="119">
      <c r="A119" s="18" t="n"/>
      <c r="B119" s="15" t="n"/>
      <c r="C119" s="17" t="n"/>
      <c r="D119" s="17" t="n"/>
      <c r="E119" s="7">
        <f>IF(D119="","",D119-C119)</f>
        <v/>
      </c>
      <c r="F119" s="17" t="n"/>
      <c r="G119" s="17" t="n"/>
      <c r="H119" s="15" t="n"/>
      <c r="I119" s="12">
        <f>IF(A119="","",MONTH(A119))</f>
        <v/>
      </c>
    </row>
    <row r="120">
      <c r="A120" s="18" t="n"/>
      <c r="B120" s="15" t="n"/>
      <c r="C120" s="17" t="n"/>
      <c r="D120" s="17" t="n"/>
      <c r="E120" s="7">
        <f>IF(D120="","",D120-C120)</f>
        <v/>
      </c>
      <c r="F120" s="17" t="n"/>
      <c r="G120" s="17" t="n"/>
      <c r="H120" s="15" t="n"/>
      <c r="I120" s="12">
        <f>IF(A120="","",MONTH(A120))</f>
        <v/>
      </c>
    </row>
    <row r="121">
      <c r="A121" s="18" t="n"/>
      <c r="B121" s="15" t="n"/>
      <c r="C121" s="17" t="n"/>
      <c r="D121" s="17" t="n"/>
      <c r="E121" s="7">
        <f>IF(D121="","",D121-C121)</f>
        <v/>
      </c>
      <c r="F121" s="17" t="n"/>
      <c r="G121" s="17" t="n"/>
      <c r="H121" s="15" t="n"/>
      <c r="I121" s="12">
        <f>IF(A121="","",MONTH(A121))</f>
        <v/>
      </c>
    </row>
    <row r="122">
      <c r="A122" s="18" t="n"/>
      <c r="B122" s="15" t="n"/>
      <c r="C122" s="17" t="n"/>
      <c r="D122" s="17" t="n"/>
      <c r="E122" s="7">
        <f>IF(D122="","",D122-C122)</f>
        <v/>
      </c>
      <c r="F122" s="17" t="n"/>
      <c r="G122" s="17" t="n"/>
      <c r="H122" s="15" t="n"/>
      <c r="I122" s="12">
        <f>IF(A122="","",MONTH(A122))</f>
        <v/>
      </c>
    </row>
    <row r="123">
      <c r="A123" s="18" t="n"/>
      <c r="B123" s="15" t="n"/>
      <c r="C123" s="17" t="n"/>
      <c r="D123" s="17" t="n"/>
      <c r="E123" s="7">
        <f>IF(D123="","",D123-C123)</f>
        <v/>
      </c>
      <c r="F123" s="17" t="n"/>
      <c r="G123" s="17" t="n"/>
      <c r="H123" s="15" t="n"/>
      <c r="I123" s="12">
        <f>IF(A123="","",MONTH(A123))</f>
        <v/>
      </c>
    </row>
    <row r="124">
      <c r="A124" s="18" t="n"/>
      <c r="B124" s="15" t="n"/>
      <c r="C124" s="17" t="n"/>
      <c r="D124" s="17" t="n"/>
      <c r="E124" s="7">
        <f>IF(D124="","",D124-C124)</f>
        <v/>
      </c>
      <c r="F124" s="17" t="n"/>
      <c r="G124" s="17" t="n"/>
      <c r="H124" s="15" t="n"/>
      <c r="I124" s="12">
        <f>IF(A124="","",MONTH(A124))</f>
        <v/>
      </c>
    </row>
    <row r="125">
      <c r="A125" s="18" t="n"/>
      <c r="B125" s="15" t="n"/>
      <c r="C125" s="17" t="n"/>
      <c r="D125" s="17" t="n"/>
      <c r="E125" s="7">
        <f>IF(D125="","",D125-C125)</f>
        <v/>
      </c>
      <c r="F125" s="17" t="n"/>
      <c r="G125" s="17" t="n"/>
      <c r="H125" s="15" t="n"/>
      <c r="I125" s="12">
        <f>IF(A125="","",MONTH(A125))</f>
        <v/>
      </c>
    </row>
    <row r="126">
      <c r="A126" s="18" t="n"/>
      <c r="B126" s="15" t="n"/>
      <c r="C126" s="17" t="n"/>
      <c r="D126" s="17" t="n"/>
      <c r="E126" s="7">
        <f>IF(D126="","",D126-C126)</f>
        <v/>
      </c>
      <c r="F126" s="17" t="n"/>
      <c r="G126" s="17" t="n"/>
      <c r="H126" s="15" t="n"/>
      <c r="I126" s="12">
        <f>IF(A126="","",MONTH(A126))</f>
        <v/>
      </c>
    </row>
    <row r="127">
      <c r="A127" s="18" t="n"/>
      <c r="B127" s="15" t="n"/>
      <c r="C127" s="17" t="n"/>
      <c r="D127" s="17" t="n"/>
      <c r="E127" s="7">
        <f>IF(D127="","",D127-C127)</f>
        <v/>
      </c>
      <c r="F127" s="17" t="n"/>
      <c r="G127" s="17" t="n"/>
      <c r="H127" s="15" t="n"/>
      <c r="I127" s="12">
        <f>IF(A127="","",MONTH(A127))</f>
        <v/>
      </c>
    </row>
    <row r="128">
      <c r="A128" s="18" t="n"/>
      <c r="B128" s="15" t="n"/>
      <c r="C128" s="17" t="n"/>
      <c r="D128" s="17" t="n"/>
      <c r="E128" s="7">
        <f>IF(D128="","",D128-C128)</f>
        <v/>
      </c>
      <c r="F128" s="17" t="n"/>
      <c r="G128" s="17" t="n"/>
      <c r="H128" s="15" t="n"/>
      <c r="I128" s="12">
        <f>IF(A128="","",MONTH(A128))</f>
        <v/>
      </c>
    </row>
    <row r="129">
      <c r="A129" s="18" t="n"/>
      <c r="B129" s="15" t="n"/>
      <c r="C129" s="17" t="n"/>
      <c r="D129" s="17" t="n"/>
      <c r="E129" s="7">
        <f>IF(D129="","",D129-C129)</f>
        <v/>
      </c>
      <c r="F129" s="17" t="n"/>
      <c r="G129" s="17" t="n"/>
      <c r="H129" s="15" t="n"/>
      <c r="I129" s="12">
        <f>IF(A129="","",MONTH(A129))</f>
        <v/>
      </c>
    </row>
    <row r="130">
      <c r="A130" s="18" t="n"/>
      <c r="B130" s="15" t="n"/>
      <c r="C130" s="17" t="n"/>
      <c r="D130" s="17" t="n"/>
      <c r="E130" s="7">
        <f>IF(D130="","",D130-C130)</f>
        <v/>
      </c>
      <c r="F130" s="17" t="n"/>
      <c r="G130" s="17" t="n"/>
      <c r="H130" s="15" t="n"/>
      <c r="I130" s="12">
        <f>IF(A130="","",MONTH(A130))</f>
        <v/>
      </c>
    </row>
    <row r="131">
      <c r="A131" s="18" t="n"/>
      <c r="B131" s="15" t="n"/>
      <c r="C131" s="17" t="n"/>
      <c r="D131" s="17" t="n"/>
      <c r="E131" s="7">
        <f>IF(D131="","",D131-C131)</f>
        <v/>
      </c>
      <c r="F131" s="17" t="n"/>
      <c r="G131" s="17" t="n"/>
      <c r="H131" s="15" t="n"/>
      <c r="I131" s="12">
        <f>IF(A131="","",MONTH(A131))</f>
        <v/>
      </c>
    </row>
    <row r="132">
      <c r="A132" s="18" t="n"/>
      <c r="B132" s="15" t="n"/>
      <c r="C132" s="17" t="n"/>
      <c r="D132" s="17" t="n"/>
      <c r="E132" s="7">
        <f>IF(D132="","",D132-C132)</f>
        <v/>
      </c>
      <c r="F132" s="17" t="n"/>
      <c r="G132" s="17" t="n"/>
      <c r="H132" s="15" t="n"/>
      <c r="I132" s="12">
        <f>IF(A132="","",MONTH(A132))</f>
        <v/>
      </c>
    </row>
    <row r="133">
      <c r="A133" s="18" t="n"/>
      <c r="B133" s="15" t="n"/>
      <c r="C133" s="17" t="n"/>
      <c r="D133" s="17" t="n"/>
      <c r="E133" s="7">
        <f>IF(D133="","",D133-C133)</f>
        <v/>
      </c>
      <c r="F133" s="17" t="n"/>
      <c r="G133" s="17" t="n"/>
      <c r="H133" s="15" t="n"/>
      <c r="I133" s="12">
        <f>IF(A133="","",MONTH(A133))</f>
        <v/>
      </c>
    </row>
    <row r="134">
      <c r="A134" s="18" t="n"/>
      <c r="B134" s="15" t="n"/>
      <c r="C134" s="17" t="n"/>
      <c r="D134" s="17" t="n"/>
      <c r="E134" s="7">
        <f>IF(D134="","",D134-C134)</f>
        <v/>
      </c>
      <c r="F134" s="17" t="n"/>
      <c r="G134" s="17" t="n"/>
      <c r="H134" s="15" t="n"/>
      <c r="I134" s="12">
        <f>IF(A134="","",MONTH(A134))</f>
        <v/>
      </c>
    </row>
    <row r="135">
      <c r="A135" s="18" t="n"/>
      <c r="B135" s="15" t="n"/>
      <c r="C135" s="17" t="n"/>
      <c r="D135" s="17" t="n"/>
      <c r="E135" s="7">
        <f>IF(D135="","",D135-C135)</f>
        <v/>
      </c>
      <c r="F135" s="17" t="n"/>
      <c r="G135" s="17" t="n"/>
      <c r="H135" s="15" t="n"/>
      <c r="I135" s="12">
        <f>IF(A135="","",MONTH(A135))</f>
        <v/>
      </c>
    </row>
    <row r="136">
      <c r="A136" s="18" t="n"/>
      <c r="B136" s="15" t="n"/>
      <c r="C136" s="17" t="n"/>
      <c r="D136" s="17" t="n"/>
      <c r="E136" s="7">
        <f>IF(D136="","",D136-C136)</f>
        <v/>
      </c>
      <c r="F136" s="17" t="n"/>
      <c r="G136" s="17" t="n"/>
      <c r="H136" s="15" t="n"/>
      <c r="I136" s="12">
        <f>IF(A136="","",MONTH(A136))</f>
        <v/>
      </c>
    </row>
    <row r="137">
      <c r="A137" s="18" t="n"/>
      <c r="B137" s="15" t="n"/>
      <c r="C137" s="17" t="n"/>
      <c r="D137" s="17" t="n"/>
      <c r="E137" s="7">
        <f>IF(D137="","",D137-C137)</f>
        <v/>
      </c>
      <c r="F137" s="17" t="n"/>
      <c r="G137" s="17" t="n"/>
      <c r="H137" s="15" t="n"/>
      <c r="I137" s="12">
        <f>IF(A137="","",MONTH(A137))</f>
        <v/>
      </c>
    </row>
    <row r="138">
      <c r="A138" s="18" t="n"/>
      <c r="B138" s="15" t="n"/>
      <c r="C138" s="17" t="n"/>
      <c r="D138" s="17" t="n"/>
      <c r="E138" s="7">
        <f>IF(D138="","",D138-C138)</f>
        <v/>
      </c>
      <c r="F138" s="17" t="n"/>
      <c r="G138" s="17" t="n"/>
      <c r="H138" s="15" t="n"/>
      <c r="I138" s="12">
        <f>IF(A138="","",MONTH(A138))</f>
        <v/>
      </c>
    </row>
    <row r="139">
      <c r="A139" s="18" t="n"/>
      <c r="B139" s="15" t="n"/>
      <c r="C139" s="17" t="n"/>
      <c r="D139" s="17" t="n"/>
      <c r="E139" s="7">
        <f>IF(D139="","",D139-C139)</f>
        <v/>
      </c>
      <c r="F139" s="17" t="n"/>
      <c r="G139" s="17" t="n"/>
      <c r="H139" s="15" t="n"/>
      <c r="I139" s="12">
        <f>IF(A139="","",MONTH(A139))</f>
        <v/>
      </c>
    </row>
    <row r="140">
      <c r="A140" s="18" t="n"/>
      <c r="B140" s="15" t="n"/>
      <c r="C140" s="17" t="n"/>
      <c r="D140" s="17" t="n"/>
      <c r="E140" s="7">
        <f>IF(D140="","",D140-C140)</f>
        <v/>
      </c>
      <c r="F140" s="17" t="n"/>
      <c r="G140" s="17" t="n"/>
      <c r="H140" s="15" t="n"/>
      <c r="I140" s="12">
        <f>IF(A140="","",MONTH(A140))</f>
        <v/>
      </c>
    </row>
    <row r="141">
      <c r="A141" s="18" t="n"/>
      <c r="B141" s="15" t="n"/>
      <c r="C141" s="17" t="n"/>
      <c r="D141" s="17" t="n"/>
      <c r="E141" s="7">
        <f>IF(D141="","",D141-C141)</f>
        <v/>
      </c>
      <c r="F141" s="17" t="n"/>
      <c r="G141" s="17" t="n"/>
      <c r="H141" s="15" t="n"/>
      <c r="I141" s="12">
        <f>IF(A141="","",MONTH(A141))</f>
        <v/>
      </c>
    </row>
    <row r="142">
      <c r="A142" s="18" t="n"/>
      <c r="B142" s="15" t="n"/>
      <c r="C142" s="17" t="n"/>
      <c r="D142" s="17" t="n"/>
      <c r="E142" s="7">
        <f>IF(D142="","",D142-C142)</f>
        <v/>
      </c>
      <c r="F142" s="17" t="n"/>
      <c r="G142" s="17" t="n"/>
      <c r="H142" s="15" t="n"/>
      <c r="I142" s="12">
        <f>IF(A142="","",MONTH(A142))</f>
        <v/>
      </c>
    </row>
    <row r="143">
      <c r="A143" s="18" t="n"/>
      <c r="B143" s="15" t="n"/>
      <c r="C143" s="17" t="n"/>
      <c r="D143" s="17" t="n"/>
      <c r="E143" s="7">
        <f>IF(D143="","",D143-C143)</f>
        <v/>
      </c>
      <c r="F143" s="17" t="n"/>
      <c r="G143" s="17" t="n"/>
      <c r="H143" s="15" t="n"/>
      <c r="I143" s="12">
        <f>IF(A143="","",MONTH(A143))</f>
        <v/>
      </c>
    </row>
    <row r="144">
      <c r="A144" s="18" t="n"/>
      <c r="B144" s="15" t="n"/>
      <c r="C144" s="17" t="n"/>
      <c r="D144" s="17" t="n"/>
      <c r="E144" s="7">
        <f>IF(D144="","",D144-C144)</f>
        <v/>
      </c>
      <c r="F144" s="17" t="n"/>
      <c r="G144" s="17" t="n"/>
      <c r="H144" s="15" t="n"/>
      <c r="I144" s="12">
        <f>IF(A144="","",MONTH(A144))</f>
        <v/>
      </c>
    </row>
    <row r="145">
      <c r="A145" s="18" t="n"/>
      <c r="B145" s="15" t="n"/>
      <c r="C145" s="17" t="n"/>
      <c r="D145" s="17" t="n"/>
      <c r="E145" s="7">
        <f>IF(D145="","",D145-C145)</f>
        <v/>
      </c>
      <c r="F145" s="17" t="n"/>
      <c r="G145" s="17" t="n"/>
      <c r="H145" s="15" t="n"/>
      <c r="I145" s="12">
        <f>IF(A145="","",MONTH(A145))</f>
        <v/>
      </c>
    </row>
    <row r="146">
      <c r="A146" s="18" t="n"/>
      <c r="B146" s="15" t="n"/>
      <c r="C146" s="17" t="n"/>
      <c r="D146" s="17" t="n"/>
      <c r="E146" s="7">
        <f>IF(D146="","",D146-C146)</f>
        <v/>
      </c>
      <c r="F146" s="17" t="n"/>
      <c r="G146" s="17" t="n"/>
      <c r="H146" s="15" t="n"/>
      <c r="I146" s="12">
        <f>IF(A146="","",MONTH(A146))</f>
        <v/>
      </c>
    </row>
    <row r="147">
      <c r="A147" s="18" t="n"/>
      <c r="B147" s="15" t="n"/>
      <c r="C147" s="17" t="n"/>
      <c r="D147" s="17" t="n"/>
      <c r="E147" s="7">
        <f>IF(D147="","",D147-C147)</f>
        <v/>
      </c>
      <c r="F147" s="17" t="n"/>
      <c r="G147" s="17" t="n"/>
      <c r="H147" s="15" t="n"/>
      <c r="I147" s="12">
        <f>IF(A147="","",MONTH(A147))</f>
        <v/>
      </c>
    </row>
    <row r="148">
      <c r="A148" s="18" t="n"/>
      <c r="B148" s="15" t="n"/>
      <c r="C148" s="17" t="n"/>
      <c r="D148" s="17" t="n"/>
      <c r="E148" s="7">
        <f>IF(D148="","",D148-C148)</f>
        <v/>
      </c>
      <c r="F148" s="17" t="n"/>
      <c r="G148" s="17" t="n"/>
      <c r="H148" s="15" t="n"/>
      <c r="I148" s="12">
        <f>IF(A148="","",MONTH(A148))</f>
        <v/>
      </c>
    </row>
    <row r="149">
      <c r="A149" s="18" t="n"/>
      <c r="B149" s="15" t="n"/>
      <c r="C149" s="17" t="n"/>
      <c r="D149" s="17" t="n"/>
      <c r="E149" s="7">
        <f>IF(D149="","",D149-C149)</f>
        <v/>
      </c>
      <c r="F149" s="17" t="n"/>
      <c r="G149" s="17" t="n"/>
      <c r="H149" s="15" t="n"/>
      <c r="I149" s="12">
        <f>IF(A149="","",MONTH(A149))</f>
        <v/>
      </c>
    </row>
    <row r="150">
      <c r="A150" s="18" t="n"/>
      <c r="B150" s="15" t="n"/>
      <c r="C150" s="17" t="n"/>
      <c r="D150" s="17" t="n"/>
      <c r="E150" s="7">
        <f>IF(D150="","",D150-C150)</f>
        <v/>
      </c>
      <c r="F150" s="17" t="n"/>
      <c r="G150" s="17" t="n"/>
      <c r="H150" s="15" t="n"/>
      <c r="I150" s="12">
        <f>IF(A150="","",MONTH(A150))</f>
        <v/>
      </c>
    </row>
    <row r="151">
      <c r="A151" s="18" t="n"/>
      <c r="B151" s="15" t="n"/>
      <c r="C151" s="17" t="n"/>
      <c r="D151" s="17" t="n"/>
      <c r="E151" s="7">
        <f>IF(D151="","",D151-C151)</f>
        <v/>
      </c>
      <c r="F151" s="17" t="n"/>
      <c r="G151" s="17" t="n"/>
      <c r="H151" s="15" t="n"/>
      <c r="I151" s="12">
        <f>IF(A151="","",MONTH(A151))</f>
        <v/>
      </c>
    </row>
    <row r="152">
      <c r="A152" s="18" t="n"/>
      <c r="B152" s="15" t="n"/>
      <c r="C152" s="17" t="n"/>
      <c r="D152" s="17" t="n"/>
      <c r="E152" s="7">
        <f>IF(D152="","",D152-C152)</f>
        <v/>
      </c>
      <c r="F152" s="17" t="n"/>
      <c r="G152" s="17" t="n"/>
      <c r="H152" s="15" t="n"/>
      <c r="I152" s="12">
        <f>IF(A152="","",MONTH(A152))</f>
        <v/>
      </c>
    </row>
    <row r="153">
      <c r="A153" s="18" t="n"/>
      <c r="B153" s="15" t="n"/>
      <c r="C153" s="17" t="n"/>
      <c r="D153" s="17" t="n"/>
      <c r="E153" s="7">
        <f>IF(D153="","",D153-C153)</f>
        <v/>
      </c>
      <c r="F153" s="17" t="n"/>
      <c r="G153" s="17" t="n"/>
      <c r="H153" s="15" t="n"/>
      <c r="I153" s="12">
        <f>IF(A153="","",MONTH(A153))</f>
        <v/>
      </c>
    </row>
    <row r="154">
      <c r="A154" s="18" t="n"/>
      <c r="B154" s="15" t="n"/>
      <c r="C154" s="17" t="n"/>
      <c r="D154" s="17" t="n"/>
      <c r="E154" s="7">
        <f>IF(D154="","",D154-C154)</f>
        <v/>
      </c>
      <c r="F154" s="17" t="n"/>
      <c r="G154" s="17" t="n"/>
      <c r="H154" s="15" t="n"/>
      <c r="I154" s="12">
        <f>IF(A154="","",MONTH(A154))</f>
        <v/>
      </c>
    </row>
    <row r="155">
      <c r="A155" s="18" t="n"/>
      <c r="B155" s="15" t="n"/>
      <c r="C155" s="17" t="n"/>
      <c r="D155" s="17" t="n"/>
      <c r="E155" s="7">
        <f>IF(D155="","",D155-C155)</f>
        <v/>
      </c>
      <c r="F155" s="17" t="n"/>
      <c r="G155" s="17" t="n"/>
      <c r="H155" s="15" t="n"/>
      <c r="I155" s="12">
        <f>IF(A155="","",MONTH(A155))</f>
        <v/>
      </c>
    </row>
    <row r="156">
      <c r="A156" s="18" t="n"/>
      <c r="B156" s="15" t="n"/>
      <c r="C156" s="17" t="n"/>
      <c r="D156" s="17" t="n"/>
      <c r="E156" s="7">
        <f>IF(D156="","",D156-C156)</f>
        <v/>
      </c>
      <c r="F156" s="17" t="n"/>
      <c r="G156" s="17" t="n"/>
      <c r="H156" s="15" t="n"/>
      <c r="I156" s="12">
        <f>IF(A156="","",MONTH(A156))</f>
        <v/>
      </c>
    </row>
    <row r="157">
      <c r="A157" s="18" t="n"/>
      <c r="B157" s="15" t="n"/>
      <c r="C157" s="17" t="n"/>
      <c r="D157" s="17" t="n"/>
      <c r="E157" s="7">
        <f>IF(D157="","",D157-C157)</f>
        <v/>
      </c>
      <c r="F157" s="17" t="n"/>
      <c r="G157" s="17" t="n"/>
      <c r="H157" s="15" t="n"/>
      <c r="I157" s="12">
        <f>IF(A157="","",MONTH(A157))</f>
        <v/>
      </c>
    </row>
    <row r="158">
      <c r="A158" s="18" t="n"/>
      <c r="B158" s="15" t="n"/>
      <c r="C158" s="17" t="n"/>
      <c r="D158" s="17" t="n"/>
      <c r="E158" s="7">
        <f>IF(D158="","",D158-C158)</f>
        <v/>
      </c>
      <c r="F158" s="17" t="n"/>
      <c r="G158" s="17" t="n"/>
      <c r="H158" s="15" t="n"/>
      <c r="I158" s="12">
        <f>IF(A158="","",MONTH(A158))</f>
        <v/>
      </c>
    </row>
    <row r="159">
      <c r="A159" s="18" t="n"/>
      <c r="B159" s="15" t="n"/>
      <c r="C159" s="17" t="n"/>
      <c r="D159" s="17" t="n"/>
      <c r="E159" s="7">
        <f>IF(D159="","",D159-C159)</f>
        <v/>
      </c>
      <c r="F159" s="17" t="n"/>
      <c r="G159" s="17" t="n"/>
      <c r="H159" s="15" t="n"/>
      <c r="I159" s="12">
        <f>IF(A159="","",MONTH(A159))</f>
        <v/>
      </c>
    </row>
    <row r="160">
      <c r="A160" s="18" t="n"/>
      <c r="B160" s="15" t="n"/>
      <c r="C160" s="17" t="n"/>
      <c r="D160" s="17" t="n"/>
      <c r="E160" s="7">
        <f>IF(D160="","",D160-C160)</f>
        <v/>
      </c>
      <c r="F160" s="17" t="n"/>
      <c r="G160" s="17" t="n"/>
      <c r="H160" s="15" t="n"/>
      <c r="I160" s="12">
        <f>IF(A160="","",MONTH(A160))</f>
        <v/>
      </c>
    </row>
    <row r="161">
      <c r="A161" s="18" t="n"/>
      <c r="B161" s="15" t="n"/>
      <c r="C161" s="17" t="n"/>
      <c r="D161" s="17" t="n"/>
      <c r="E161" s="7">
        <f>IF(D161="","",D161-C161)</f>
        <v/>
      </c>
      <c r="F161" s="17" t="n"/>
      <c r="G161" s="17" t="n"/>
      <c r="H161" s="15" t="n"/>
      <c r="I161" s="12">
        <f>IF(A161="","",MONTH(A161))</f>
        <v/>
      </c>
    </row>
    <row r="162">
      <c r="A162" s="18" t="n"/>
      <c r="B162" s="15" t="n"/>
      <c r="C162" s="17" t="n"/>
      <c r="D162" s="17" t="n"/>
      <c r="E162" s="7">
        <f>IF(D162="","",D162-C162)</f>
        <v/>
      </c>
      <c r="F162" s="17" t="n"/>
      <c r="G162" s="17" t="n"/>
      <c r="H162" s="15" t="n"/>
      <c r="I162" s="12">
        <f>IF(A162="","",MONTH(A162))</f>
        <v/>
      </c>
    </row>
    <row r="163">
      <c r="A163" s="18" t="n"/>
      <c r="B163" s="15" t="n"/>
      <c r="C163" s="17" t="n"/>
      <c r="D163" s="17" t="n"/>
      <c r="E163" s="7">
        <f>IF(D163="","",D163-C163)</f>
        <v/>
      </c>
      <c r="F163" s="17" t="n"/>
      <c r="G163" s="17" t="n"/>
      <c r="H163" s="15" t="n"/>
      <c r="I163" s="12">
        <f>IF(A163="","",MONTH(A163))</f>
        <v/>
      </c>
    </row>
    <row r="164">
      <c r="A164" s="18" t="n"/>
      <c r="B164" s="15" t="n"/>
      <c r="C164" s="17" t="n"/>
      <c r="D164" s="17" t="n"/>
      <c r="E164" s="7">
        <f>IF(D164="","",D164-C164)</f>
        <v/>
      </c>
      <c r="F164" s="17" t="n"/>
      <c r="G164" s="17" t="n"/>
      <c r="H164" s="15" t="n"/>
      <c r="I164" s="12">
        <f>IF(A164="","",MONTH(A164))</f>
        <v/>
      </c>
    </row>
    <row r="165">
      <c r="A165" s="18" t="n"/>
      <c r="B165" s="15" t="n"/>
      <c r="C165" s="17" t="n"/>
      <c r="D165" s="17" t="n"/>
      <c r="E165" s="7">
        <f>IF(D165="","",D165-C165)</f>
        <v/>
      </c>
      <c r="F165" s="17" t="n"/>
      <c r="G165" s="17" t="n"/>
      <c r="H165" s="15" t="n"/>
      <c r="I165" s="12">
        <f>IF(A165="","",MONTH(A165))</f>
        <v/>
      </c>
    </row>
    <row r="166">
      <c r="A166" s="18" t="n"/>
      <c r="B166" s="15" t="n"/>
      <c r="C166" s="17" t="n"/>
      <c r="D166" s="17" t="n"/>
      <c r="E166" s="7">
        <f>IF(D166="","",D166-C166)</f>
        <v/>
      </c>
      <c r="F166" s="17" t="n"/>
      <c r="G166" s="17" t="n"/>
      <c r="H166" s="15" t="n"/>
      <c r="I166" s="12">
        <f>IF(A166="","",MONTH(A166))</f>
        <v/>
      </c>
    </row>
    <row r="167">
      <c r="A167" s="18" t="n"/>
      <c r="B167" s="15" t="n"/>
      <c r="C167" s="17" t="n"/>
      <c r="D167" s="17" t="n"/>
      <c r="E167" s="7">
        <f>IF(D167="","",D167-C167)</f>
        <v/>
      </c>
      <c r="F167" s="17" t="n"/>
      <c r="G167" s="17" t="n"/>
      <c r="H167" s="15" t="n"/>
      <c r="I167" s="12">
        <f>IF(A167="","",MONTH(A167))</f>
        <v/>
      </c>
    </row>
    <row r="168">
      <c r="A168" s="18" t="n"/>
      <c r="B168" s="15" t="n"/>
      <c r="C168" s="17" t="n"/>
      <c r="D168" s="17" t="n"/>
      <c r="E168" s="7">
        <f>IF(D168="","",D168-C168)</f>
        <v/>
      </c>
      <c r="F168" s="17" t="n"/>
      <c r="G168" s="17" t="n"/>
      <c r="H168" s="15" t="n"/>
      <c r="I168" s="12">
        <f>IF(A168="","",MONTH(A168))</f>
        <v/>
      </c>
    </row>
    <row r="169">
      <c r="A169" s="18" t="n"/>
      <c r="B169" s="15" t="n"/>
      <c r="C169" s="17" t="n"/>
      <c r="D169" s="17" t="n"/>
      <c r="E169" s="7">
        <f>IF(D169="","",D169-C169)</f>
        <v/>
      </c>
      <c r="F169" s="17" t="n"/>
      <c r="G169" s="17" t="n"/>
      <c r="H169" s="15" t="n"/>
      <c r="I169" s="12">
        <f>IF(A169="","",MONTH(A169))</f>
        <v/>
      </c>
    </row>
    <row r="170">
      <c r="A170" s="18" t="n"/>
      <c r="B170" s="15" t="n"/>
      <c r="C170" s="17" t="n"/>
      <c r="D170" s="17" t="n"/>
      <c r="E170" s="7">
        <f>IF(D170="","",D170-C170)</f>
        <v/>
      </c>
      <c r="F170" s="17" t="n"/>
      <c r="G170" s="17" t="n"/>
      <c r="H170" s="15" t="n"/>
      <c r="I170" s="12">
        <f>IF(A170="","",MONTH(A170))</f>
        <v/>
      </c>
    </row>
    <row r="171">
      <c r="A171" s="18" t="n"/>
      <c r="B171" s="15" t="n"/>
      <c r="C171" s="17" t="n"/>
      <c r="D171" s="17" t="n"/>
      <c r="E171" s="7">
        <f>IF(D171="","",D171-C171)</f>
        <v/>
      </c>
      <c r="F171" s="17" t="n"/>
      <c r="G171" s="17" t="n"/>
      <c r="H171" s="15" t="n"/>
      <c r="I171" s="12">
        <f>IF(A171="","",MONTH(A171))</f>
        <v/>
      </c>
    </row>
    <row r="172">
      <c r="A172" s="18" t="n"/>
      <c r="B172" s="15" t="n"/>
      <c r="C172" s="17" t="n"/>
      <c r="D172" s="17" t="n"/>
      <c r="E172" s="7">
        <f>IF(D172="","",D172-C172)</f>
        <v/>
      </c>
      <c r="F172" s="17" t="n"/>
      <c r="G172" s="17" t="n"/>
      <c r="H172" s="15" t="n"/>
      <c r="I172" s="12">
        <f>IF(A172="","",MONTH(A172))</f>
        <v/>
      </c>
    </row>
    <row r="173">
      <c r="A173" s="18" t="n"/>
      <c r="B173" s="15" t="n"/>
      <c r="C173" s="17" t="n"/>
      <c r="D173" s="17" t="n"/>
      <c r="E173" s="7">
        <f>IF(D173="","",D173-C173)</f>
        <v/>
      </c>
      <c r="F173" s="17" t="n"/>
      <c r="G173" s="17" t="n"/>
      <c r="H173" s="15" t="n"/>
      <c r="I173" s="12">
        <f>IF(A173="","",MONTH(A173))</f>
        <v/>
      </c>
    </row>
    <row r="174">
      <c r="A174" s="18" t="n"/>
      <c r="B174" s="15" t="n"/>
      <c r="C174" s="17" t="n"/>
      <c r="D174" s="17" t="n"/>
      <c r="E174" s="7">
        <f>IF(D174="","",D174-C174)</f>
        <v/>
      </c>
      <c r="F174" s="17" t="n"/>
      <c r="G174" s="17" t="n"/>
      <c r="H174" s="15" t="n"/>
      <c r="I174" s="12">
        <f>IF(A174="","",MONTH(A174))</f>
        <v/>
      </c>
    </row>
    <row r="175">
      <c r="A175" s="18" t="n"/>
      <c r="B175" s="15" t="n"/>
      <c r="C175" s="17" t="n"/>
      <c r="D175" s="17" t="n"/>
      <c r="E175" s="7">
        <f>IF(D175="","",D175-C175)</f>
        <v/>
      </c>
      <c r="F175" s="17" t="n"/>
      <c r="G175" s="17" t="n"/>
      <c r="H175" s="15" t="n"/>
      <c r="I175" s="12">
        <f>IF(A175="","",MONTH(A175))</f>
        <v/>
      </c>
    </row>
    <row r="176">
      <c r="A176" s="18" t="n"/>
      <c r="B176" s="15" t="n"/>
      <c r="C176" s="17" t="n"/>
      <c r="D176" s="17" t="n"/>
      <c r="E176" s="7">
        <f>IF(D176="","",D176-C176)</f>
        <v/>
      </c>
      <c r="F176" s="17" t="n"/>
      <c r="G176" s="17" t="n"/>
      <c r="H176" s="15" t="n"/>
      <c r="I176" s="12">
        <f>IF(A176="","",MONTH(A176))</f>
        <v/>
      </c>
    </row>
    <row r="177">
      <c r="A177" s="18" t="n"/>
      <c r="B177" s="15" t="n"/>
      <c r="C177" s="17" t="n"/>
      <c r="D177" s="17" t="n"/>
      <c r="E177" s="7">
        <f>IF(D177="","",D177-C177)</f>
        <v/>
      </c>
      <c r="F177" s="17" t="n"/>
      <c r="G177" s="17" t="n"/>
      <c r="H177" s="15" t="n"/>
      <c r="I177" s="12">
        <f>IF(A177="","",MONTH(A177))</f>
        <v/>
      </c>
    </row>
    <row r="178">
      <c r="A178" s="18" t="n"/>
      <c r="B178" s="15" t="n"/>
      <c r="C178" s="17" t="n"/>
      <c r="D178" s="17" t="n"/>
      <c r="E178" s="7">
        <f>IF(D178="","",D178-C178)</f>
        <v/>
      </c>
      <c r="F178" s="17" t="n"/>
      <c r="G178" s="17" t="n"/>
      <c r="H178" s="15" t="n"/>
      <c r="I178" s="12">
        <f>IF(A178="","",MONTH(A178))</f>
        <v/>
      </c>
    </row>
    <row r="179">
      <c r="A179" s="18" t="n"/>
      <c r="B179" s="15" t="n"/>
      <c r="C179" s="17" t="n"/>
      <c r="D179" s="17" t="n"/>
      <c r="E179" s="7">
        <f>IF(D179="","",D179-C179)</f>
        <v/>
      </c>
      <c r="F179" s="17" t="n"/>
      <c r="G179" s="17" t="n"/>
      <c r="H179" s="15" t="n"/>
      <c r="I179" s="12">
        <f>IF(A179="","",MONTH(A179))</f>
        <v/>
      </c>
    </row>
    <row r="180">
      <c r="A180" s="18" t="n"/>
      <c r="B180" s="15" t="n"/>
      <c r="C180" s="17" t="n"/>
      <c r="D180" s="17" t="n"/>
      <c r="E180" s="7">
        <f>IF(D180="","",D180-C180)</f>
        <v/>
      </c>
      <c r="F180" s="17" t="n"/>
      <c r="G180" s="17" t="n"/>
      <c r="H180" s="15" t="n"/>
      <c r="I180" s="12">
        <f>IF(A180="","",MONTH(A180))</f>
        <v/>
      </c>
    </row>
    <row r="181">
      <c r="A181" s="18" t="n"/>
      <c r="B181" s="15" t="n"/>
      <c r="C181" s="17" t="n"/>
      <c r="D181" s="17" t="n"/>
      <c r="E181" s="7">
        <f>IF(D181="","",D181-C181)</f>
        <v/>
      </c>
      <c r="F181" s="17" t="n"/>
      <c r="G181" s="17" t="n"/>
      <c r="H181" s="15" t="n"/>
      <c r="I181" s="12">
        <f>IF(A181="","",MONTH(A181))</f>
        <v/>
      </c>
    </row>
    <row r="182">
      <c r="A182" s="18" t="n"/>
      <c r="B182" s="15" t="n"/>
      <c r="C182" s="17" t="n"/>
      <c r="D182" s="17" t="n"/>
      <c r="E182" s="7">
        <f>IF(D182="","",D182-C182)</f>
        <v/>
      </c>
      <c r="F182" s="17" t="n"/>
      <c r="G182" s="17" t="n"/>
      <c r="H182" s="15" t="n"/>
      <c r="I182" s="12">
        <f>IF(A182="","",MONTH(A182))</f>
        <v/>
      </c>
    </row>
    <row r="183">
      <c r="A183" s="18" t="n"/>
      <c r="B183" s="15" t="n"/>
      <c r="C183" s="17" t="n"/>
      <c r="D183" s="17" t="n"/>
      <c r="E183" s="7">
        <f>IF(D183="","",D183-C183)</f>
        <v/>
      </c>
      <c r="F183" s="17" t="n"/>
      <c r="G183" s="17" t="n"/>
      <c r="H183" s="15" t="n"/>
      <c r="I183" s="12">
        <f>IF(A183="","",MONTH(A183))</f>
        <v/>
      </c>
    </row>
    <row r="184">
      <c r="A184" s="18" t="n"/>
      <c r="B184" s="15" t="n"/>
      <c r="C184" s="17" t="n"/>
      <c r="D184" s="17" t="n"/>
      <c r="E184" s="7">
        <f>IF(D184="","",D184-C184)</f>
        <v/>
      </c>
      <c r="F184" s="17" t="n"/>
      <c r="G184" s="17" t="n"/>
      <c r="H184" s="15" t="n"/>
      <c r="I184" s="12">
        <f>IF(A184="","",MONTH(A184))</f>
        <v/>
      </c>
    </row>
    <row r="185">
      <c r="A185" s="18" t="n"/>
      <c r="B185" s="15" t="n"/>
      <c r="C185" s="17" t="n"/>
      <c r="D185" s="17" t="n"/>
      <c r="E185" s="7">
        <f>IF(D185="","",D185-C185)</f>
        <v/>
      </c>
      <c r="F185" s="17" t="n"/>
      <c r="G185" s="17" t="n"/>
      <c r="H185" s="15" t="n"/>
      <c r="I185" s="12">
        <f>IF(A185="","",MONTH(A185))</f>
        <v/>
      </c>
    </row>
    <row r="186">
      <c r="A186" s="18" t="n"/>
      <c r="B186" s="15" t="n"/>
      <c r="C186" s="17" t="n"/>
      <c r="D186" s="17" t="n"/>
      <c r="E186" s="7">
        <f>IF(D186="","",D186-C186)</f>
        <v/>
      </c>
      <c r="F186" s="17" t="n"/>
      <c r="G186" s="17" t="n"/>
      <c r="H186" s="15" t="n"/>
      <c r="I186" s="12">
        <f>IF(A186="","",MONTH(A186))</f>
        <v/>
      </c>
    </row>
    <row r="187">
      <c r="A187" s="18" t="n"/>
      <c r="B187" s="15" t="n"/>
      <c r="C187" s="17" t="n"/>
      <c r="D187" s="17" t="n"/>
      <c r="E187" s="7">
        <f>IF(D187="","",D187-C187)</f>
        <v/>
      </c>
      <c r="F187" s="17" t="n"/>
      <c r="G187" s="17" t="n"/>
      <c r="H187" s="15" t="n"/>
      <c r="I187" s="12">
        <f>IF(A187="","",MONTH(A187))</f>
        <v/>
      </c>
    </row>
    <row r="188">
      <c r="A188" s="18" t="n"/>
      <c r="B188" s="15" t="n"/>
      <c r="C188" s="17" t="n"/>
      <c r="D188" s="17" t="n"/>
      <c r="E188" s="7">
        <f>IF(D188="","",D188-C188)</f>
        <v/>
      </c>
      <c r="F188" s="17" t="n"/>
      <c r="G188" s="17" t="n"/>
      <c r="H188" s="15" t="n"/>
      <c r="I188" s="12">
        <f>IF(A188="","",MONTH(A188))</f>
        <v/>
      </c>
    </row>
    <row r="189">
      <c r="A189" s="18" t="n"/>
      <c r="B189" s="15" t="n"/>
      <c r="C189" s="17" t="n"/>
      <c r="D189" s="17" t="n"/>
      <c r="E189" s="7">
        <f>IF(D189="","",D189-C189)</f>
        <v/>
      </c>
      <c r="F189" s="17" t="n"/>
      <c r="G189" s="17" t="n"/>
      <c r="H189" s="15" t="n"/>
      <c r="I189" s="12">
        <f>IF(A189="","",MONTH(A189))</f>
        <v/>
      </c>
    </row>
    <row r="190">
      <c r="A190" s="18" t="n"/>
      <c r="B190" s="15" t="n"/>
      <c r="C190" s="17" t="n"/>
      <c r="D190" s="17" t="n"/>
      <c r="E190" s="7">
        <f>IF(D190="","",D190-C190)</f>
        <v/>
      </c>
      <c r="F190" s="17" t="n"/>
      <c r="G190" s="17" t="n"/>
      <c r="H190" s="15" t="n"/>
      <c r="I190" s="12">
        <f>IF(A190="","",MONTH(A190))</f>
        <v/>
      </c>
    </row>
    <row r="191">
      <c r="A191" s="18" t="n"/>
      <c r="B191" s="15" t="n"/>
      <c r="C191" s="17" t="n"/>
      <c r="D191" s="17" t="n"/>
      <c r="E191" s="7">
        <f>IF(D191="","",D191-C191)</f>
        <v/>
      </c>
      <c r="F191" s="17" t="n"/>
      <c r="G191" s="17" t="n"/>
      <c r="H191" s="15" t="n"/>
      <c r="I191" s="12">
        <f>IF(A191="","",MONTH(A191))</f>
        <v/>
      </c>
    </row>
    <row r="192">
      <c r="A192" s="18" t="n"/>
      <c r="B192" s="15" t="n"/>
      <c r="C192" s="17" t="n"/>
      <c r="D192" s="17" t="n"/>
      <c r="E192" s="7">
        <f>IF(D192="","",D192-C192)</f>
        <v/>
      </c>
      <c r="F192" s="17" t="n"/>
      <c r="G192" s="17" t="n"/>
      <c r="H192" s="15" t="n"/>
      <c r="I192" s="12">
        <f>IF(A192="","",MONTH(A192))</f>
        <v/>
      </c>
    </row>
    <row r="193">
      <c r="A193" s="18" t="n"/>
      <c r="B193" s="15" t="n"/>
      <c r="C193" s="17" t="n"/>
      <c r="D193" s="17" t="n"/>
      <c r="E193" s="7">
        <f>IF(D193="","",D193-C193)</f>
        <v/>
      </c>
      <c r="F193" s="17" t="n"/>
      <c r="G193" s="17" t="n"/>
      <c r="H193" s="15" t="n"/>
      <c r="I193" s="12">
        <f>IF(A193="","",MONTH(A193))</f>
        <v/>
      </c>
    </row>
    <row r="194">
      <c r="A194" s="18" t="n"/>
      <c r="B194" s="15" t="n"/>
      <c r="C194" s="17" t="n"/>
      <c r="D194" s="17" t="n"/>
      <c r="E194" s="7">
        <f>IF(D194="","",D194-C194)</f>
        <v/>
      </c>
      <c r="F194" s="17" t="n"/>
      <c r="G194" s="17" t="n"/>
      <c r="H194" s="15" t="n"/>
      <c r="I194" s="12">
        <f>IF(A194="","",MONTH(A194))</f>
        <v/>
      </c>
    </row>
    <row r="195">
      <c r="A195" s="18" t="n"/>
      <c r="B195" s="15" t="n"/>
      <c r="C195" s="17" t="n"/>
      <c r="D195" s="17" t="n"/>
      <c r="E195" s="7">
        <f>IF(D195="","",D195-C195)</f>
        <v/>
      </c>
      <c r="F195" s="17" t="n"/>
      <c r="G195" s="17" t="n"/>
      <c r="H195" s="15" t="n"/>
      <c r="I195" s="12">
        <f>IF(A195="","",MONTH(A195))</f>
        <v/>
      </c>
    </row>
    <row r="196">
      <c r="A196" s="18" t="n"/>
      <c r="B196" s="15" t="n"/>
      <c r="C196" s="17" t="n"/>
      <c r="D196" s="17" t="n"/>
      <c r="E196" s="7">
        <f>IF(D196="","",D196-C196)</f>
        <v/>
      </c>
      <c r="F196" s="17" t="n"/>
      <c r="G196" s="17" t="n"/>
      <c r="H196" s="15" t="n"/>
      <c r="I196" s="12">
        <f>IF(A196="","",MONTH(A196))</f>
        <v/>
      </c>
    </row>
    <row r="197">
      <c r="A197" s="18" t="n"/>
      <c r="B197" s="15" t="n"/>
      <c r="C197" s="17" t="n"/>
      <c r="D197" s="17" t="n"/>
      <c r="E197" s="7">
        <f>IF(D197="","",D197-C197)</f>
        <v/>
      </c>
      <c r="F197" s="17" t="n"/>
      <c r="G197" s="17" t="n"/>
      <c r="H197" s="15" t="n"/>
      <c r="I197" s="12">
        <f>IF(A197="","",MONTH(A197))</f>
        <v/>
      </c>
    </row>
    <row r="198">
      <c r="A198" s="18" t="n"/>
      <c r="B198" s="15" t="n"/>
      <c r="C198" s="17" t="n"/>
      <c r="D198" s="17" t="n"/>
      <c r="E198" s="7">
        <f>IF(D198="","",D198-C198)</f>
        <v/>
      </c>
      <c r="F198" s="17" t="n"/>
      <c r="G198" s="17" t="n"/>
      <c r="H198" s="15" t="n"/>
      <c r="I198" s="12">
        <f>IF(A198="","",MONTH(A198))</f>
        <v/>
      </c>
    </row>
    <row r="199">
      <c r="A199" s="18" t="n"/>
      <c r="B199" s="15" t="n"/>
      <c r="C199" s="17" t="n"/>
      <c r="D199" s="17" t="n"/>
      <c r="E199" s="7">
        <f>IF(D199="","",D199-C199)</f>
        <v/>
      </c>
      <c r="F199" s="17" t="n"/>
      <c r="G199" s="17" t="n"/>
      <c r="H199" s="15" t="n"/>
      <c r="I199" s="12">
        <f>IF(A199="","",MONTH(A199))</f>
        <v/>
      </c>
    </row>
    <row r="200">
      <c r="A200" s="18" t="n"/>
      <c r="B200" s="15" t="n"/>
      <c r="C200" s="17" t="n"/>
      <c r="D200" s="17" t="n"/>
      <c r="E200" s="7">
        <f>IF(D200="","",D200-C200)</f>
        <v/>
      </c>
      <c r="F200" s="17" t="n"/>
      <c r="G200" s="17" t="n"/>
      <c r="H200" s="15" t="n"/>
      <c r="I200" s="12">
        <f>IF(A200="","",MONTH(A200))</f>
        <v/>
      </c>
    </row>
    <row r="201">
      <c r="A201" s="18" t="n"/>
      <c r="B201" s="15" t="n"/>
      <c r="C201" s="17" t="n"/>
      <c r="D201" s="17" t="n"/>
      <c r="E201" s="7">
        <f>IF(D201="","",D201-C201)</f>
        <v/>
      </c>
      <c r="F201" s="17" t="n"/>
      <c r="G201" s="17" t="n"/>
      <c r="H201" s="15" t="n"/>
      <c r="I201" s="12">
        <f>IF(A201="","",MONTH(A201))</f>
        <v/>
      </c>
    </row>
    <row r="202">
      <c r="A202" s="18" t="n"/>
      <c r="B202" s="15" t="n"/>
      <c r="C202" s="17" t="n"/>
      <c r="D202" s="17" t="n"/>
      <c r="E202" s="7">
        <f>IF(D202="","",D202-C202)</f>
        <v/>
      </c>
      <c r="F202" s="17" t="n"/>
      <c r="G202" s="17" t="n"/>
      <c r="H202" s="15" t="n"/>
      <c r="I202" s="12">
        <f>IF(A202="","",MONTH(A202))</f>
        <v/>
      </c>
    </row>
    <row r="203">
      <c r="A203" s="18" t="n"/>
      <c r="B203" s="15" t="n"/>
      <c r="C203" s="17" t="n"/>
      <c r="D203" s="17" t="n"/>
      <c r="E203" s="7">
        <f>IF(D203="","",D203-C203)</f>
        <v/>
      </c>
      <c r="F203" s="17" t="n"/>
      <c r="G203" s="17" t="n"/>
      <c r="H203" s="15" t="n"/>
      <c r="I203" s="12">
        <f>IF(A203="","",MONTH(A203))</f>
        <v/>
      </c>
    </row>
    <row r="204">
      <c r="A204" s="18" t="n"/>
      <c r="B204" s="15" t="n"/>
      <c r="C204" s="17" t="n"/>
      <c r="D204" s="17" t="n"/>
      <c r="E204" s="7">
        <f>IF(D204="","",D204-C204)</f>
        <v/>
      </c>
      <c r="F204" s="17" t="n"/>
      <c r="G204" s="17" t="n"/>
      <c r="H204" s="15" t="n"/>
      <c r="I204" s="12">
        <f>IF(A204="","",MONTH(A204))</f>
        <v/>
      </c>
    </row>
    <row r="205">
      <c r="A205" s="18" t="n"/>
      <c r="B205" s="15" t="n"/>
      <c r="C205" s="17" t="n"/>
      <c r="D205" s="17" t="n"/>
      <c r="E205" s="7">
        <f>IF(D205="","",D205-C205)</f>
        <v/>
      </c>
      <c r="F205" s="17" t="n"/>
      <c r="G205" s="17" t="n"/>
      <c r="H205" s="15" t="n"/>
      <c r="I205" s="12">
        <f>IF(A205="","",MONTH(A205))</f>
        <v/>
      </c>
    </row>
    <row r="206">
      <c r="A206" s="18" t="n"/>
      <c r="B206" s="15" t="n"/>
      <c r="C206" s="17" t="n"/>
      <c r="D206" s="17" t="n"/>
      <c r="E206" s="7">
        <f>IF(D206="","",D206-C206)</f>
        <v/>
      </c>
      <c r="F206" s="17" t="n"/>
      <c r="G206" s="17" t="n"/>
      <c r="H206" s="15" t="n"/>
      <c r="I206" s="12">
        <f>IF(A206="","",MONTH(A206))</f>
        <v/>
      </c>
    </row>
    <row r="207">
      <c r="A207" s="18" t="n"/>
      <c r="B207" s="15" t="n"/>
      <c r="C207" s="17" t="n"/>
      <c r="D207" s="17" t="n"/>
      <c r="E207" s="7">
        <f>IF(D207="","",D207-C207)</f>
        <v/>
      </c>
      <c r="F207" s="17" t="n"/>
      <c r="G207" s="17" t="n"/>
      <c r="H207" s="15" t="n"/>
      <c r="I207" s="12">
        <f>IF(A207="","",MONTH(A207))</f>
        <v/>
      </c>
    </row>
    <row r="208">
      <c r="A208" s="18" t="n"/>
      <c r="B208" s="15" t="n"/>
      <c r="C208" s="17" t="n"/>
      <c r="D208" s="17" t="n"/>
      <c r="E208" s="7">
        <f>IF(D208="","",D208-C208)</f>
        <v/>
      </c>
      <c r="F208" s="17" t="n"/>
      <c r="G208" s="17" t="n"/>
      <c r="H208" s="15" t="n"/>
      <c r="I208" s="12">
        <f>IF(A208="","",MONTH(A208))</f>
        <v/>
      </c>
    </row>
    <row r="209">
      <c r="A209" s="18" t="n"/>
      <c r="B209" s="15" t="n"/>
      <c r="C209" s="17" t="n"/>
      <c r="D209" s="17" t="n"/>
      <c r="E209" s="7">
        <f>IF(D209="","",D209-C209)</f>
        <v/>
      </c>
      <c r="F209" s="17" t="n"/>
      <c r="G209" s="17" t="n"/>
      <c r="H209" s="15" t="n"/>
      <c r="I209" s="12">
        <f>IF(A209="","",MONTH(A209))</f>
        <v/>
      </c>
    </row>
    <row r="210">
      <c r="A210" s="18" t="n"/>
      <c r="B210" s="15" t="n"/>
      <c r="C210" s="17" t="n"/>
      <c r="D210" s="17" t="n"/>
      <c r="E210" s="7">
        <f>IF(D210="","",D210-C210)</f>
        <v/>
      </c>
      <c r="F210" s="17" t="n"/>
      <c r="G210" s="17" t="n"/>
      <c r="H210" s="15" t="n"/>
      <c r="I210" s="12">
        <f>IF(A210="","",MONTH(A210))</f>
        <v/>
      </c>
    </row>
    <row r="211">
      <c r="A211" s="18" t="n"/>
      <c r="B211" s="15" t="n"/>
      <c r="C211" s="17" t="n"/>
      <c r="D211" s="17" t="n"/>
      <c r="E211" s="7">
        <f>IF(D211="","",D211-C211)</f>
        <v/>
      </c>
      <c r="F211" s="17" t="n"/>
      <c r="G211" s="17" t="n"/>
      <c r="H211" s="15" t="n"/>
      <c r="I211" s="12">
        <f>IF(A211="","",MONTH(A211))</f>
        <v/>
      </c>
    </row>
    <row r="212">
      <c r="A212" s="18" t="n"/>
      <c r="B212" s="15" t="n"/>
      <c r="C212" s="17" t="n"/>
      <c r="D212" s="17" t="n"/>
      <c r="E212" s="7">
        <f>IF(D212="","",D212-C212)</f>
        <v/>
      </c>
      <c r="F212" s="17" t="n"/>
      <c r="G212" s="17" t="n"/>
      <c r="H212" s="15" t="n"/>
      <c r="I212" s="12">
        <f>IF(A212="","",MONTH(A212))</f>
        <v/>
      </c>
    </row>
    <row r="213">
      <c r="A213" s="18" t="n"/>
      <c r="B213" s="15" t="n"/>
      <c r="C213" s="17" t="n"/>
      <c r="D213" s="17" t="n"/>
      <c r="E213" s="7">
        <f>IF(D213="","",D213-C213)</f>
        <v/>
      </c>
      <c r="F213" s="17" t="n"/>
      <c r="G213" s="17" t="n"/>
      <c r="H213" s="15" t="n"/>
      <c r="I213" s="12">
        <f>IF(A213="","",MONTH(A213))</f>
        <v/>
      </c>
    </row>
    <row r="214">
      <c r="A214" s="18" t="n"/>
      <c r="B214" s="15" t="n"/>
      <c r="C214" s="17" t="n"/>
      <c r="D214" s="17" t="n"/>
      <c r="E214" s="7">
        <f>IF(D214="","",D214-C214)</f>
        <v/>
      </c>
      <c r="F214" s="17" t="n"/>
      <c r="G214" s="17" t="n"/>
      <c r="H214" s="15" t="n"/>
      <c r="I214" s="12">
        <f>IF(A214="","",MONTH(A214))</f>
        <v/>
      </c>
    </row>
    <row r="215">
      <c r="A215" s="18" t="n"/>
      <c r="B215" s="15" t="n"/>
      <c r="C215" s="17" t="n"/>
      <c r="D215" s="17" t="n"/>
      <c r="E215" s="7">
        <f>IF(D215="","",D215-C215)</f>
        <v/>
      </c>
      <c r="F215" s="17" t="n"/>
      <c r="G215" s="17" t="n"/>
      <c r="H215" s="15" t="n"/>
      <c r="I215" s="12">
        <f>IF(A215="","",MONTH(A215))</f>
        <v/>
      </c>
    </row>
    <row r="216">
      <c r="A216" s="18" t="n"/>
      <c r="B216" s="15" t="n"/>
      <c r="C216" s="17" t="n"/>
      <c r="D216" s="17" t="n"/>
      <c r="E216" s="7">
        <f>IF(D216="","",D216-C216)</f>
        <v/>
      </c>
      <c r="F216" s="17" t="n"/>
      <c r="G216" s="17" t="n"/>
      <c r="H216" s="15" t="n"/>
      <c r="I216" s="12">
        <f>IF(A216="","",MONTH(A216))</f>
        <v/>
      </c>
    </row>
    <row r="217">
      <c r="A217" s="18" t="n"/>
      <c r="B217" s="15" t="n"/>
      <c r="C217" s="17" t="n"/>
      <c r="D217" s="17" t="n"/>
      <c r="E217" s="7">
        <f>IF(D217="","",D217-C217)</f>
        <v/>
      </c>
      <c r="F217" s="17" t="n"/>
      <c r="G217" s="17" t="n"/>
      <c r="H217" s="15" t="n"/>
      <c r="I217" s="12">
        <f>IF(A217="","",MONTH(A217))</f>
        <v/>
      </c>
    </row>
    <row r="218">
      <c r="A218" s="18" t="n"/>
      <c r="B218" s="15" t="n"/>
      <c r="C218" s="17" t="n"/>
      <c r="D218" s="17" t="n"/>
      <c r="E218" s="7">
        <f>IF(D218="","",D218-C218)</f>
        <v/>
      </c>
      <c r="F218" s="17" t="n"/>
      <c r="G218" s="17" t="n"/>
      <c r="H218" s="15" t="n"/>
      <c r="I218" s="12">
        <f>IF(A218="","",MONTH(A218))</f>
        <v/>
      </c>
    </row>
    <row r="219">
      <c r="A219" s="18" t="n"/>
      <c r="B219" s="15" t="n"/>
      <c r="C219" s="17" t="n"/>
      <c r="D219" s="17" t="n"/>
      <c r="E219" s="7">
        <f>IF(D219="","",D219-C219)</f>
        <v/>
      </c>
      <c r="F219" s="17" t="n"/>
      <c r="G219" s="17" t="n"/>
      <c r="H219" s="15" t="n"/>
      <c r="I219" s="12">
        <f>IF(A219="","",MONTH(A219))</f>
        <v/>
      </c>
    </row>
    <row r="220">
      <c r="A220" s="18" t="n"/>
      <c r="B220" s="15" t="n"/>
      <c r="C220" s="17" t="n"/>
      <c r="D220" s="17" t="n"/>
      <c r="E220" s="7">
        <f>IF(D220="","",D220-C220)</f>
        <v/>
      </c>
      <c r="F220" s="17" t="n"/>
      <c r="G220" s="17" t="n"/>
      <c r="H220" s="15" t="n"/>
      <c r="I220" s="12">
        <f>IF(A220="","",MONTH(A220))</f>
        <v/>
      </c>
    </row>
    <row r="221">
      <c r="A221" s="18" t="n"/>
      <c r="B221" s="15" t="n"/>
      <c r="C221" s="17" t="n"/>
      <c r="D221" s="17" t="n"/>
      <c r="E221" s="7">
        <f>IF(D221="","",D221-C221)</f>
        <v/>
      </c>
      <c r="F221" s="17" t="n"/>
      <c r="G221" s="17" t="n"/>
      <c r="H221" s="15" t="n"/>
      <c r="I221" s="12">
        <f>IF(A221="","",MONTH(A221))</f>
        <v/>
      </c>
    </row>
    <row r="222">
      <c r="A222" s="18" t="n"/>
      <c r="B222" s="15" t="n"/>
      <c r="C222" s="17" t="n"/>
      <c r="D222" s="17" t="n"/>
      <c r="E222" s="7">
        <f>IF(D222="","",D222-C222)</f>
        <v/>
      </c>
      <c r="F222" s="17" t="n"/>
      <c r="G222" s="17" t="n"/>
      <c r="H222" s="15" t="n"/>
      <c r="I222" s="12">
        <f>IF(A222="","",MONTH(A222))</f>
        <v/>
      </c>
    </row>
    <row r="223">
      <c r="A223" s="18" t="n"/>
      <c r="B223" s="15" t="n"/>
      <c r="C223" s="17" t="n"/>
      <c r="D223" s="17" t="n"/>
      <c r="E223" s="7">
        <f>IF(D223="","",D223-C223)</f>
        <v/>
      </c>
      <c r="F223" s="17" t="n"/>
      <c r="G223" s="17" t="n"/>
      <c r="H223" s="15" t="n"/>
      <c r="I223" s="12">
        <f>IF(A223="","",MONTH(A223))</f>
        <v/>
      </c>
    </row>
    <row r="224">
      <c r="A224" s="18" t="n"/>
      <c r="B224" s="15" t="n"/>
      <c r="C224" s="17" t="n"/>
      <c r="D224" s="17" t="n"/>
      <c r="E224" s="7">
        <f>IF(D224="","",D224-C224)</f>
        <v/>
      </c>
      <c r="F224" s="17" t="n"/>
      <c r="G224" s="17" t="n"/>
      <c r="H224" s="15" t="n"/>
      <c r="I224" s="12">
        <f>IF(A224="","",MONTH(A224))</f>
        <v/>
      </c>
    </row>
    <row r="225">
      <c r="A225" s="18" t="n"/>
      <c r="B225" s="15" t="n"/>
      <c r="C225" s="17" t="n"/>
      <c r="D225" s="17" t="n"/>
      <c r="E225" s="7">
        <f>IF(D225="","",D225-C225)</f>
        <v/>
      </c>
      <c r="F225" s="17" t="n"/>
      <c r="G225" s="17" t="n"/>
      <c r="H225" s="15" t="n"/>
      <c r="I225" s="12">
        <f>IF(A225="","",MONTH(A225))</f>
        <v/>
      </c>
    </row>
    <row r="226">
      <c r="A226" s="18" t="n"/>
      <c r="B226" s="15" t="n"/>
      <c r="C226" s="17" t="n"/>
      <c r="D226" s="17" t="n"/>
      <c r="E226" s="7">
        <f>IF(D226="","",D226-C226)</f>
        <v/>
      </c>
      <c r="F226" s="17" t="n"/>
      <c r="G226" s="17" t="n"/>
      <c r="H226" s="15" t="n"/>
      <c r="I226" s="12">
        <f>IF(A226="","",MONTH(A226))</f>
        <v/>
      </c>
    </row>
    <row r="227">
      <c r="A227" s="18" t="n"/>
      <c r="B227" s="15" t="n"/>
      <c r="C227" s="17" t="n"/>
      <c r="D227" s="17" t="n"/>
      <c r="E227" s="7">
        <f>IF(D227="","",D227-C227)</f>
        <v/>
      </c>
      <c r="F227" s="17" t="n"/>
      <c r="G227" s="17" t="n"/>
      <c r="H227" s="15" t="n"/>
      <c r="I227" s="12">
        <f>IF(A227="","",MONTH(A227))</f>
        <v/>
      </c>
    </row>
    <row r="228">
      <c r="A228" s="18" t="n"/>
      <c r="B228" s="15" t="n"/>
      <c r="C228" s="17" t="n"/>
      <c r="D228" s="17" t="n"/>
      <c r="E228" s="7">
        <f>IF(D228="","",D228-C228)</f>
        <v/>
      </c>
      <c r="F228" s="17" t="n"/>
      <c r="G228" s="17" t="n"/>
      <c r="H228" s="15" t="n"/>
      <c r="I228" s="12">
        <f>IF(A228="","",MONTH(A228))</f>
        <v/>
      </c>
    </row>
    <row r="229">
      <c r="A229" s="18" t="n"/>
      <c r="B229" s="15" t="n"/>
      <c r="C229" s="17" t="n"/>
      <c r="D229" s="17" t="n"/>
      <c r="E229" s="7">
        <f>IF(D229="","",D229-C229)</f>
        <v/>
      </c>
      <c r="F229" s="17" t="n"/>
      <c r="G229" s="17" t="n"/>
      <c r="H229" s="15" t="n"/>
      <c r="I229" s="12">
        <f>IF(A229="","",MONTH(A229))</f>
        <v/>
      </c>
    </row>
    <row r="230">
      <c r="A230" s="18" t="n"/>
      <c r="B230" s="15" t="n"/>
      <c r="C230" s="17" t="n"/>
      <c r="D230" s="17" t="n"/>
      <c r="E230" s="7">
        <f>IF(D230="","",D230-C230)</f>
        <v/>
      </c>
      <c r="F230" s="17" t="n"/>
      <c r="G230" s="17" t="n"/>
      <c r="H230" s="15" t="n"/>
      <c r="I230" s="12">
        <f>IF(A230="","",MONTH(A230))</f>
        <v/>
      </c>
    </row>
    <row r="231">
      <c r="A231" s="18" t="n"/>
      <c r="B231" s="15" t="n"/>
      <c r="C231" s="17" t="n"/>
      <c r="D231" s="17" t="n"/>
      <c r="E231" s="7">
        <f>IF(D231="","",D231-C231)</f>
        <v/>
      </c>
      <c r="F231" s="17" t="n"/>
      <c r="G231" s="17" t="n"/>
      <c r="H231" s="15" t="n"/>
      <c r="I231" s="12">
        <f>IF(A231="","",MONTH(A231))</f>
        <v/>
      </c>
    </row>
    <row r="232">
      <c r="A232" s="18" t="n"/>
      <c r="B232" s="15" t="n"/>
      <c r="C232" s="17" t="n"/>
      <c r="D232" s="17" t="n"/>
      <c r="E232" s="7">
        <f>IF(D232="","",D232-C232)</f>
        <v/>
      </c>
      <c r="F232" s="17" t="n"/>
      <c r="G232" s="17" t="n"/>
      <c r="H232" s="15" t="n"/>
      <c r="I232" s="12">
        <f>IF(A232="","",MONTH(A232))</f>
        <v/>
      </c>
    </row>
    <row r="233">
      <c r="A233" s="18" t="n"/>
      <c r="B233" s="15" t="n"/>
      <c r="C233" s="17" t="n"/>
      <c r="D233" s="17" t="n"/>
      <c r="E233" s="7">
        <f>IF(D233="","",D233-C233)</f>
        <v/>
      </c>
      <c r="F233" s="17" t="n"/>
      <c r="G233" s="17" t="n"/>
      <c r="H233" s="15" t="n"/>
      <c r="I233" s="12">
        <f>IF(A233="","",MONTH(A233))</f>
        <v/>
      </c>
    </row>
    <row r="234">
      <c r="A234" s="18" t="n"/>
      <c r="B234" s="15" t="n"/>
      <c r="C234" s="17" t="n"/>
      <c r="D234" s="17" t="n"/>
      <c r="E234" s="7">
        <f>IF(D234="","",D234-C234)</f>
        <v/>
      </c>
      <c r="F234" s="17" t="n"/>
      <c r="G234" s="17" t="n"/>
      <c r="H234" s="15" t="n"/>
      <c r="I234" s="12">
        <f>IF(A234="","",MONTH(A234))</f>
        <v/>
      </c>
    </row>
    <row r="235">
      <c r="A235" s="18" t="n"/>
      <c r="B235" s="15" t="n"/>
      <c r="C235" s="17" t="n"/>
      <c r="D235" s="17" t="n"/>
      <c r="E235" s="7">
        <f>IF(D235="","",D235-C235)</f>
        <v/>
      </c>
      <c r="F235" s="17" t="n"/>
      <c r="G235" s="17" t="n"/>
      <c r="H235" s="15" t="n"/>
      <c r="I235" s="12">
        <f>IF(A235="","",MONTH(A235))</f>
        <v/>
      </c>
    </row>
    <row r="236">
      <c r="A236" s="18" t="n"/>
      <c r="B236" s="15" t="n"/>
      <c r="C236" s="17" t="n"/>
      <c r="D236" s="17" t="n"/>
      <c r="E236" s="7">
        <f>IF(D236="","",D236-C236)</f>
        <v/>
      </c>
      <c r="F236" s="17" t="n"/>
      <c r="G236" s="17" t="n"/>
      <c r="H236" s="15" t="n"/>
      <c r="I236" s="12">
        <f>IF(A236="","",MONTH(A236))</f>
        <v/>
      </c>
    </row>
    <row r="237">
      <c r="A237" s="18" t="n"/>
      <c r="B237" s="15" t="n"/>
      <c r="C237" s="17" t="n"/>
      <c r="D237" s="17" t="n"/>
      <c r="E237" s="7">
        <f>IF(D237="","",D237-C237)</f>
        <v/>
      </c>
      <c r="F237" s="17" t="n"/>
      <c r="G237" s="17" t="n"/>
      <c r="H237" s="15" t="n"/>
      <c r="I237" s="12">
        <f>IF(A237="","",MONTH(A237))</f>
        <v/>
      </c>
    </row>
    <row r="238">
      <c r="A238" s="18" t="n"/>
      <c r="B238" s="15" t="n"/>
      <c r="C238" s="17" t="n"/>
      <c r="D238" s="17" t="n"/>
      <c r="E238" s="7">
        <f>IF(D238="","",D238-C238)</f>
        <v/>
      </c>
      <c r="F238" s="17" t="n"/>
      <c r="G238" s="17" t="n"/>
      <c r="H238" s="15" t="n"/>
      <c r="I238" s="12">
        <f>IF(A238="","",MONTH(A238))</f>
        <v/>
      </c>
    </row>
    <row r="239">
      <c r="A239" s="18" t="n"/>
      <c r="B239" s="15" t="n"/>
      <c r="C239" s="17" t="n"/>
      <c r="D239" s="17" t="n"/>
      <c r="E239" s="7">
        <f>IF(D239="","",D239-C239)</f>
        <v/>
      </c>
      <c r="F239" s="17" t="n"/>
      <c r="G239" s="17" t="n"/>
      <c r="H239" s="15" t="n"/>
      <c r="I239" s="12">
        <f>IF(A239="","",MONTH(A239))</f>
        <v/>
      </c>
    </row>
    <row r="240">
      <c r="A240" s="18" t="n"/>
      <c r="B240" s="15" t="n"/>
      <c r="C240" s="17" t="n"/>
      <c r="D240" s="17" t="n"/>
      <c r="E240" s="7">
        <f>IF(D240="","",D240-C240)</f>
        <v/>
      </c>
      <c r="F240" s="17" t="n"/>
      <c r="G240" s="17" t="n"/>
      <c r="H240" s="15" t="n"/>
      <c r="I240" s="12">
        <f>IF(A240="","",MONTH(A240))</f>
        <v/>
      </c>
    </row>
    <row r="241">
      <c r="A241" s="18" t="n"/>
      <c r="B241" s="15" t="n"/>
      <c r="C241" s="17" t="n"/>
      <c r="D241" s="17" t="n"/>
      <c r="E241" s="7">
        <f>IF(D241="","",D241-C241)</f>
        <v/>
      </c>
      <c r="F241" s="17" t="n"/>
      <c r="G241" s="17" t="n"/>
      <c r="H241" s="15" t="n"/>
      <c r="I241" s="12">
        <f>IF(A241="","",MONTH(A241))</f>
        <v/>
      </c>
    </row>
    <row r="242">
      <c r="A242" s="18" t="n"/>
      <c r="B242" s="15" t="n"/>
      <c r="C242" s="17" t="n"/>
      <c r="D242" s="17" t="n"/>
      <c r="E242" s="7">
        <f>IF(D242="","",D242-C242)</f>
        <v/>
      </c>
      <c r="F242" s="17" t="n"/>
      <c r="G242" s="17" t="n"/>
      <c r="H242" s="15" t="n"/>
      <c r="I242" s="12">
        <f>IF(A242="","",MONTH(A242))</f>
        <v/>
      </c>
    </row>
    <row r="243">
      <c r="A243" s="18" t="n"/>
      <c r="B243" s="15" t="n"/>
      <c r="C243" s="17" t="n"/>
      <c r="D243" s="17" t="n"/>
      <c r="E243" s="7">
        <f>IF(D243="","",D243-C243)</f>
        <v/>
      </c>
      <c r="F243" s="17" t="n"/>
      <c r="G243" s="17" t="n"/>
      <c r="H243" s="15" t="n"/>
      <c r="I243" s="12">
        <f>IF(A243="","",MONTH(A243))</f>
        <v/>
      </c>
    </row>
    <row r="244">
      <c r="A244" s="18" t="n"/>
      <c r="B244" s="15" t="n"/>
      <c r="C244" s="17" t="n"/>
      <c r="D244" s="17" t="n"/>
      <c r="E244" s="7">
        <f>IF(D244="","",D244-C244)</f>
        <v/>
      </c>
      <c r="F244" s="17" t="n"/>
      <c r="G244" s="17" t="n"/>
      <c r="H244" s="15" t="n"/>
      <c r="I244" s="12">
        <f>IF(A244="","",MONTH(A244))</f>
        <v/>
      </c>
    </row>
    <row r="245">
      <c r="A245" s="18" t="n"/>
      <c r="B245" s="15" t="n"/>
      <c r="C245" s="17" t="n"/>
      <c r="D245" s="17" t="n"/>
      <c r="E245" s="7">
        <f>IF(D245="","",D245-C245)</f>
        <v/>
      </c>
      <c r="F245" s="17" t="n"/>
      <c r="G245" s="17" t="n"/>
      <c r="H245" s="15" t="n"/>
      <c r="I245" s="12">
        <f>IF(A245="","",MONTH(A245))</f>
        <v/>
      </c>
    </row>
    <row r="246">
      <c r="A246" s="18" t="n"/>
      <c r="B246" s="15" t="n"/>
      <c r="C246" s="17" t="n"/>
      <c r="D246" s="17" t="n"/>
      <c r="E246" s="7">
        <f>IF(D246="","",D246-C246)</f>
        <v/>
      </c>
      <c r="F246" s="17" t="n"/>
      <c r="G246" s="17" t="n"/>
      <c r="H246" s="15" t="n"/>
      <c r="I246" s="12">
        <f>IF(A246="","",MONTH(A246))</f>
        <v/>
      </c>
    </row>
    <row r="247">
      <c r="A247" s="18" t="n"/>
      <c r="B247" s="15" t="n"/>
      <c r="C247" s="17" t="n"/>
      <c r="D247" s="17" t="n"/>
      <c r="E247" s="7">
        <f>IF(D247="","",D247-C247)</f>
        <v/>
      </c>
      <c r="F247" s="17" t="n"/>
      <c r="G247" s="17" t="n"/>
      <c r="H247" s="15" t="n"/>
      <c r="I247" s="12">
        <f>IF(A247="","",MONTH(A247))</f>
        <v/>
      </c>
    </row>
    <row r="248">
      <c r="A248" s="18" t="n"/>
      <c r="B248" s="15" t="n"/>
      <c r="C248" s="17" t="n"/>
      <c r="D248" s="17" t="n"/>
      <c r="E248" s="7">
        <f>IF(D248="","",D248-C248)</f>
        <v/>
      </c>
      <c r="F248" s="17" t="n"/>
      <c r="G248" s="17" t="n"/>
      <c r="H248" s="15" t="n"/>
      <c r="I248" s="12">
        <f>IF(A248="","",MONTH(A248))</f>
        <v/>
      </c>
    </row>
    <row r="249">
      <c r="A249" s="18" t="n"/>
      <c r="B249" s="15" t="n"/>
      <c r="C249" s="17" t="n"/>
      <c r="D249" s="17" t="n"/>
      <c r="E249" s="7">
        <f>IF(D249="","",D249-C249)</f>
        <v/>
      </c>
      <c r="F249" s="17" t="n"/>
      <c r="G249" s="17" t="n"/>
      <c r="H249" s="15" t="n"/>
      <c r="I249" s="12">
        <f>IF(A249="","",MONTH(A249))</f>
        <v/>
      </c>
    </row>
    <row r="250">
      <c r="A250" s="18" t="n"/>
      <c r="B250" s="15" t="n"/>
      <c r="C250" s="17" t="n"/>
      <c r="D250" s="17" t="n"/>
      <c r="E250" s="7">
        <f>IF(D250="","",D250-C250)</f>
        <v/>
      </c>
      <c r="F250" s="17" t="n"/>
      <c r="G250" s="17" t="n"/>
      <c r="H250" s="15" t="n"/>
      <c r="I250" s="12">
        <f>IF(A250="","",MONTH(A250))</f>
        <v/>
      </c>
    </row>
    <row r="251">
      <c r="A251" s="18" t="n"/>
      <c r="B251" s="15" t="n"/>
      <c r="C251" s="17" t="n"/>
      <c r="D251" s="17" t="n"/>
      <c r="E251" s="7">
        <f>IF(D251="","",D251-C251)</f>
        <v/>
      </c>
      <c r="F251" s="17" t="n"/>
      <c r="G251" s="17" t="n"/>
      <c r="H251" s="15" t="n"/>
      <c r="I251" s="12">
        <f>IF(A251="","",MONTH(A251))</f>
        <v/>
      </c>
    </row>
    <row r="252">
      <c r="A252" s="18" t="n"/>
      <c r="B252" s="15" t="n"/>
      <c r="C252" s="17" t="n"/>
      <c r="D252" s="17" t="n"/>
      <c r="E252" s="7">
        <f>IF(D252="","",D252-C252)</f>
        <v/>
      </c>
      <c r="F252" s="17" t="n"/>
      <c r="G252" s="17" t="n"/>
      <c r="H252" s="15" t="n"/>
      <c r="I252" s="12">
        <f>IF(A252="","",MONTH(A252))</f>
        <v/>
      </c>
    </row>
    <row r="253">
      <c r="A253" s="18" t="n"/>
      <c r="B253" s="15" t="n"/>
      <c r="C253" s="17" t="n"/>
      <c r="D253" s="17" t="n"/>
      <c r="E253" s="7">
        <f>IF(D253="","",D253-C253)</f>
        <v/>
      </c>
      <c r="F253" s="17" t="n"/>
      <c r="G253" s="17" t="n"/>
      <c r="H253" s="15" t="n"/>
      <c r="I253" s="12">
        <f>IF(A253="","",MONTH(A253))</f>
        <v/>
      </c>
    </row>
    <row r="254">
      <c r="A254" s="18" t="n"/>
      <c r="B254" s="15" t="n"/>
      <c r="C254" s="17" t="n"/>
      <c r="D254" s="17" t="n"/>
      <c r="E254" s="7">
        <f>IF(D254="","",D254-C254)</f>
        <v/>
      </c>
      <c r="F254" s="17" t="n"/>
      <c r="G254" s="17" t="n"/>
      <c r="H254" s="15" t="n"/>
      <c r="I254" s="12">
        <f>IF(A254="","",MONTH(A254))</f>
        <v/>
      </c>
    </row>
    <row r="255">
      <c r="A255" s="18" t="n"/>
      <c r="B255" s="15" t="n"/>
      <c r="C255" s="17" t="n"/>
      <c r="D255" s="17" t="n"/>
      <c r="E255" s="7">
        <f>IF(D255="","",D255-C255)</f>
        <v/>
      </c>
      <c r="F255" s="17" t="n"/>
      <c r="G255" s="17" t="n"/>
      <c r="H255" s="15" t="n"/>
      <c r="I255" s="12">
        <f>IF(A255="","",MONTH(A255))</f>
        <v/>
      </c>
    </row>
    <row r="256">
      <c r="A256" s="18" t="n"/>
      <c r="B256" s="15" t="n"/>
      <c r="C256" s="17" t="n"/>
      <c r="D256" s="17" t="n"/>
      <c r="E256" s="7">
        <f>IF(D256="","",D256-C256)</f>
        <v/>
      </c>
      <c r="F256" s="17" t="n"/>
      <c r="G256" s="17" t="n"/>
      <c r="H256" s="15" t="n"/>
      <c r="I256" s="12">
        <f>IF(A256="","",MONTH(A256))</f>
        <v/>
      </c>
    </row>
    <row r="257">
      <c r="A257" s="18" t="n"/>
      <c r="B257" s="15" t="n"/>
      <c r="C257" s="17" t="n"/>
      <c r="D257" s="17" t="n"/>
      <c r="E257" s="7">
        <f>IF(D257="","",D257-C257)</f>
        <v/>
      </c>
      <c r="F257" s="17" t="n"/>
      <c r="G257" s="17" t="n"/>
      <c r="H257" s="15" t="n"/>
      <c r="I257" s="12">
        <f>IF(A257="","",MONTH(A257))</f>
        <v/>
      </c>
    </row>
    <row r="258">
      <c r="A258" s="18" t="n"/>
      <c r="B258" s="15" t="n"/>
      <c r="C258" s="17" t="n"/>
      <c r="D258" s="17" t="n"/>
      <c r="E258" s="7">
        <f>IF(D258="","",D258-C258)</f>
        <v/>
      </c>
      <c r="F258" s="17" t="n"/>
      <c r="G258" s="17" t="n"/>
      <c r="H258" s="15" t="n"/>
      <c r="I258" s="12">
        <f>IF(A258="","",MONTH(A258))</f>
        <v/>
      </c>
    </row>
    <row r="259">
      <c r="A259" s="18" t="n"/>
      <c r="B259" s="15" t="n"/>
      <c r="C259" s="17" t="n"/>
      <c r="D259" s="17" t="n"/>
      <c r="E259" s="7">
        <f>IF(D259="","",D259-C259)</f>
        <v/>
      </c>
      <c r="F259" s="17" t="n"/>
      <c r="G259" s="17" t="n"/>
      <c r="H259" s="15" t="n"/>
      <c r="I259" s="12">
        <f>IF(A259="","",MONTH(A259))</f>
        <v/>
      </c>
    </row>
    <row r="260">
      <c r="A260" s="18" t="n"/>
      <c r="B260" s="15" t="n"/>
      <c r="C260" s="17" t="n"/>
      <c r="D260" s="17" t="n"/>
      <c r="E260" s="7">
        <f>IF(D260="","",D260-C260)</f>
        <v/>
      </c>
      <c r="F260" s="17" t="n"/>
      <c r="G260" s="17" t="n"/>
      <c r="H260" s="15" t="n"/>
      <c r="I260" s="12">
        <f>IF(A260="","",MONTH(A260))</f>
        <v/>
      </c>
    </row>
    <row r="261">
      <c r="A261" s="18" t="n"/>
      <c r="B261" s="15" t="n"/>
      <c r="C261" s="17" t="n"/>
      <c r="D261" s="17" t="n"/>
      <c r="E261" s="7">
        <f>IF(D261="","",D261-C261)</f>
        <v/>
      </c>
      <c r="F261" s="17" t="n"/>
      <c r="G261" s="17" t="n"/>
      <c r="H261" s="15" t="n"/>
      <c r="I261" s="12">
        <f>IF(A261="","",MONTH(A261))</f>
        <v/>
      </c>
    </row>
    <row r="262">
      <c r="A262" s="18" t="n"/>
      <c r="B262" s="15" t="n"/>
      <c r="C262" s="17" t="n"/>
      <c r="D262" s="17" t="n"/>
      <c r="E262" s="7">
        <f>IF(D262="","",D262-C262)</f>
        <v/>
      </c>
      <c r="F262" s="17" t="n"/>
      <c r="G262" s="17" t="n"/>
      <c r="H262" s="15" t="n"/>
      <c r="I262" s="12">
        <f>IF(A262="","",MONTH(A262))</f>
        <v/>
      </c>
    </row>
    <row r="263">
      <c r="A263" s="18" t="n"/>
      <c r="B263" s="15" t="n"/>
      <c r="C263" s="17" t="n"/>
      <c r="D263" s="17" t="n"/>
      <c r="E263" s="7">
        <f>IF(D263="","",D263-C263)</f>
        <v/>
      </c>
      <c r="F263" s="17" t="n"/>
      <c r="G263" s="17" t="n"/>
      <c r="H263" s="15" t="n"/>
      <c r="I263" s="12">
        <f>IF(A263="","",MONTH(A263))</f>
        <v/>
      </c>
    </row>
    <row r="264">
      <c r="A264" s="18" t="n"/>
      <c r="B264" s="15" t="n"/>
      <c r="C264" s="17" t="n"/>
      <c r="D264" s="17" t="n"/>
      <c r="E264" s="7">
        <f>IF(D264="","",D264-C264)</f>
        <v/>
      </c>
      <c r="F264" s="17" t="n"/>
      <c r="G264" s="17" t="n"/>
      <c r="H264" s="15" t="n"/>
      <c r="I264" s="12">
        <f>IF(A264="","",MONTH(A264))</f>
        <v/>
      </c>
    </row>
    <row r="265">
      <c r="A265" s="18" t="n"/>
      <c r="B265" s="15" t="n"/>
      <c r="C265" s="17" t="n"/>
      <c r="D265" s="17" t="n"/>
      <c r="E265" s="7">
        <f>IF(D265="","",D265-C265)</f>
        <v/>
      </c>
      <c r="F265" s="17" t="n"/>
      <c r="G265" s="17" t="n"/>
      <c r="H265" s="15" t="n"/>
      <c r="I265" s="12">
        <f>IF(A265="","",MONTH(A265))</f>
        <v/>
      </c>
    </row>
    <row r="266">
      <c r="A266" s="18" t="n"/>
      <c r="B266" s="15" t="n"/>
      <c r="C266" s="17" t="n"/>
      <c r="D266" s="17" t="n"/>
      <c r="E266" s="7">
        <f>IF(D266="","",D266-C266)</f>
        <v/>
      </c>
      <c r="F266" s="17" t="n"/>
      <c r="G266" s="17" t="n"/>
      <c r="H266" s="15" t="n"/>
      <c r="I266" s="12">
        <f>IF(A266="","",MONTH(A266))</f>
        <v/>
      </c>
    </row>
    <row r="267">
      <c r="A267" s="18" t="n"/>
      <c r="B267" s="15" t="n"/>
      <c r="C267" s="17" t="n"/>
      <c r="D267" s="17" t="n"/>
      <c r="E267" s="7">
        <f>IF(D267="","",D267-C267)</f>
        <v/>
      </c>
      <c r="F267" s="17" t="n"/>
      <c r="G267" s="17" t="n"/>
      <c r="H267" s="15" t="n"/>
      <c r="I267" s="12">
        <f>IF(A267="","",MONTH(A267))</f>
        <v/>
      </c>
    </row>
    <row r="268">
      <c r="A268" s="18" t="n"/>
      <c r="B268" s="15" t="n"/>
      <c r="C268" s="17" t="n"/>
      <c r="D268" s="17" t="n"/>
      <c r="E268" s="7">
        <f>IF(D268="","",D268-C268)</f>
        <v/>
      </c>
      <c r="F268" s="17" t="n"/>
      <c r="G268" s="17" t="n"/>
      <c r="H268" s="15" t="n"/>
      <c r="I268" s="12">
        <f>IF(A268="","",MONTH(A268))</f>
        <v/>
      </c>
    </row>
    <row r="269">
      <c r="A269" s="18" t="n"/>
      <c r="B269" s="15" t="n"/>
      <c r="C269" s="17" t="n"/>
      <c r="D269" s="17" t="n"/>
      <c r="E269" s="7">
        <f>IF(D269="","",D269-C269)</f>
        <v/>
      </c>
      <c r="F269" s="17" t="n"/>
      <c r="G269" s="17" t="n"/>
      <c r="H269" s="15" t="n"/>
      <c r="I269" s="12">
        <f>IF(A269="","",MONTH(A269))</f>
        <v/>
      </c>
    </row>
    <row r="270">
      <c r="A270" s="18" t="n"/>
      <c r="B270" s="15" t="n"/>
      <c r="C270" s="17" t="n"/>
      <c r="D270" s="17" t="n"/>
      <c r="E270" s="7">
        <f>IF(D270="","",D270-C270)</f>
        <v/>
      </c>
      <c r="F270" s="17" t="n"/>
      <c r="G270" s="17" t="n"/>
      <c r="H270" s="15" t="n"/>
      <c r="I270" s="12">
        <f>IF(A270="","",MONTH(A270))</f>
        <v/>
      </c>
    </row>
    <row r="271">
      <c r="A271" s="18" t="n"/>
      <c r="B271" s="15" t="n"/>
      <c r="C271" s="17" t="n"/>
      <c r="D271" s="17" t="n"/>
      <c r="E271" s="7">
        <f>IF(D271="","",D271-C271)</f>
        <v/>
      </c>
      <c r="F271" s="17" t="n"/>
      <c r="G271" s="17" t="n"/>
      <c r="H271" s="15" t="n"/>
      <c r="I271" s="12">
        <f>IF(A271="","",MONTH(A271))</f>
        <v/>
      </c>
    </row>
    <row r="272">
      <c r="A272" s="18" t="n"/>
      <c r="B272" s="15" t="n"/>
      <c r="C272" s="17" t="n"/>
      <c r="D272" s="17" t="n"/>
      <c r="E272" s="7">
        <f>IF(D272="","",D272-C272)</f>
        <v/>
      </c>
      <c r="F272" s="17" t="n"/>
      <c r="G272" s="17" t="n"/>
      <c r="H272" s="15" t="n"/>
      <c r="I272" s="12">
        <f>IF(A272="","",MONTH(A272))</f>
        <v/>
      </c>
    </row>
    <row r="273">
      <c r="A273" s="18" t="n"/>
      <c r="B273" s="15" t="n"/>
      <c r="C273" s="17" t="n"/>
      <c r="D273" s="17" t="n"/>
      <c r="E273" s="7">
        <f>IF(D273="","",D273-C273)</f>
        <v/>
      </c>
      <c r="F273" s="17" t="n"/>
      <c r="G273" s="17" t="n"/>
      <c r="H273" s="15" t="n"/>
      <c r="I273" s="12">
        <f>IF(A273="","",MONTH(A273))</f>
        <v/>
      </c>
    </row>
    <row r="274">
      <c r="A274" s="18" t="n"/>
      <c r="B274" s="15" t="n"/>
      <c r="C274" s="17" t="n"/>
      <c r="D274" s="17" t="n"/>
      <c r="E274" s="7">
        <f>IF(D274="","",D274-C274)</f>
        <v/>
      </c>
      <c r="F274" s="17" t="n"/>
      <c r="G274" s="17" t="n"/>
      <c r="H274" s="15" t="n"/>
      <c r="I274" s="12">
        <f>IF(A274="","",MONTH(A274))</f>
        <v/>
      </c>
    </row>
    <row r="275">
      <c r="A275" s="18" t="n"/>
      <c r="B275" s="15" t="n"/>
      <c r="C275" s="17" t="n"/>
      <c r="D275" s="17" t="n"/>
      <c r="E275" s="7">
        <f>IF(D275="","",D275-C275)</f>
        <v/>
      </c>
      <c r="F275" s="17" t="n"/>
      <c r="G275" s="17" t="n"/>
      <c r="H275" s="15" t="n"/>
      <c r="I275" s="12">
        <f>IF(A275="","",MONTH(A275))</f>
        <v/>
      </c>
    </row>
    <row r="276">
      <c r="A276" s="18" t="n"/>
      <c r="B276" s="15" t="n"/>
      <c r="C276" s="17" t="n"/>
      <c r="D276" s="17" t="n"/>
      <c r="E276" s="7">
        <f>IF(D276="","",D276-C276)</f>
        <v/>
      </c>
      <c r="F276" s="17" t="n"/>
      <c r="G276" s="17" t="n"/>
      <c r="H276" s="15" t="n"/>
      <c r="I276" s="12">
        <f>IF(A276="","",MONTH(A276))</f>
        <v/>
      </c>
    </row>
    <row r="277">
      <c r="A277" s="18" t="n"/>
      <c r="B277" s="15" t="n"/>
      <c r="C277" s="17" t="n"/>
      <c r="D277" s="17" t="n"/>
      <c r="E277" s="7">
        <f>IF(D277="","",D277-C277)</f>
        <v/>
      </c>
      <c r="F277" s="17" t="n"/>
      <c r="G277" s="17" t="n"/>
      <c r="H277" s="15" t="n"/>
      <c r="I277" s="12">
        <f>IF(A277="","",MONTH(A277))</f>
        <v/>
      </c>
    </row>
    <row r="278">
      <c r="A278" s="18" t="n"/>
      <c r="B278" s="15" t="n"/>
      <c r="C278" s="17" t="n"/>
      <c r="D278" s="17" t="n"/>
      <c r="E278" s="7">
        <f>IF(D278="","",D278-C278)</f>
        <v/>
      </c>
      <c r="F278" s="17" t="n"/>
      <c r="G278" s="17" t="n"/>
      <c r="H278" s="15" t="n"/>
      <c r="I278" s="12">
        <f>IF(A278="","",MONTH(A278))</f>
        <v/>
      </c>
    </row>
    <row r="279">
      <c r="A279" s="18" t="n"/>
      <c r="B279" s="15" t="n"/>
      <c r="C279" s="17" t="n"/>
      <c r="D279" s="17" t="n"/>
      <c r="E279" s="7">
        <f>IF(D279="","",D279-C279)</f>
        <v/>
      </c>
      <c r="F279" s="17" t="n"/>
      <c r="G279" s="17" t="n"/>
      <c r="H279" s="15" t="n"/>
      <c r="I279" s="12">
        <f>IF(A279="","",MONTH(A279))</f>
        <v/>
      </c>
    </row>
    <row r="280">
      <c r="A280" s="18" t="n"/>
      <c r="B280" s="15" t="n"/>
      <c r="C280" s="17" t="n"/>
      <c r="D280" s="17" t="n"/>
      <c r="E280" s="7">
        <f>IF(D280="","",D280-C280)</f>
        <v/>
      </c>
      <c r="F280" s="17" t="n"/>
      <c r="G280" s="17" t="n"/>
      <c r="H280" s="15" t="n"/>
      <c r="I280" s="12">
        <f>IF(A280="","",MONTH(A280))</f>
        <v/>
      </c>
    </row>
    <row r="281">
      <c r="A281" s="18" t="n"/>
      <c r="B281" s="15" t="n"/>
      <c r="C281" s="17" t="n"/>
      <c r="D281" s="17" t="n"/>
      <c r="E281" s="7">
        <f>IF(D281="","",D281-C281)</f>
        <v/>
      </c>
      <c r="F281" s="17" t="n"/>
      <c r="G281" s="17" t="n"/>
      <c r="H281" s="15" t="n"/>
      <c r="I281" s="12">
        <f>IF(A281="","",MONTH(A281))</f>
        <v/>
      </c>
    </row>
    <row r="282">
      <c r="A282" s="18" t="n"/>
      <c r="B282" s="15" t="n"/>
      <c r="C282" s="17" t="n"/>
      <c r="D282" s="17" t="n"/>
      <c r="E282" s="7">
        <f>IF(D282="","",D282-C282)</f>
        <v/>
      </c>
      <c r="F282" s="17" t="n"/>
      <c r="G282" s="17" t="n"/>
      <c r="H282" s="15" t="n"/>
      <c r="I282" s="12">
        <f>IF(A282="","",MONTH(A282))</f>
        <v/>
      </c>
    </row>
    <row r="283">
      <c r="A283" s="18" t="n"/>
      <c r="B283" s="15" t="n"/>
      <c r="C283" s="17" t="n"/>
      <c r="D283" s="17" t="n"/>
      <c r="E283" s="7">
        <f>IF(D283="","",D283-C283)</f>
        <v/>
      </c>
      <c r="F283" s="17" t="n"/>
      <c r="G283" s="17" t="n"/>
      <c r="H283" s="15" t="n"/>
      <c r="I283" s="12">
        <f>IF(A283="","",MONTH(A283))</f>
        <v/>
      </c>
    </row>
    <row r="284">
      <c r="A284" s="18" t="n"/>
      <c r="B284" s="15" t="n"/>
      <c r="C284" s="17" t="n"/>
      <c r="D284" s="17" t="n"/>
      <c r="E284" s="7">
        <f>IF(D284="","",D284-C284)</f>
        <v/>
      </c>
      <c r="F284" s="17" t="n"/>
      <c r="G284" s="17" t="n"/>
      <c r="H284" s="15" t="n"/>
      <c r="I284" s="12">
        <f>IF(A284="","",MONTH(A284))</f>
        <v/>
      </c>
    </row>
    <row r="285">
      <c r="A285" s="18" t="n"/>
      <c r="B285" s="15" t="n"/>
      <c r="C285" s="17" t="n"/>
      <c r="D285" s="17" t="n"/>
      <c r="E285" s="7">
        <f>IF(D285="","",D285-C285)</f>
        <v/>
      </c>
      <c r="F285" s="17" t="n"/>
      <c r="G285" s="17" t="n"/>
      <c r="H285" s="15" t="n"/>
      <c r="I285" s="12">
        <f>IF(A285="","",MONTH(A285))</f>
        <v/>
      </c>
    </row>
    <row r="286">
      <c r="A286" s="18" t="n"/>
      <c r="B286" s="15" t="n"/>
      <c r="C286" s="17" t="n"/>
      <c r="D286" s="17" t="n"/>
      <c r="E286" s="7">
        <f>IF(D286="","",D286-C286)</f>
        <v/>
      </c>
      <c r="F286" s="17" t="n"/>
      <c r="G286" s="17" t="n"/>
      <c r="H286" s="15" t="n"/>
      <c r="I286" s="12">
        <f>IF(A286="","",MONTH(A286))</f>
        <v/>
      </c>
    </row>
    <row r="287">
      <c r="A287" s="18" t="n"/>
      <c r="B287" s="15" t="n"/>
      <c r="C287" s="17" t="n"/>
      <c r="D287" s="17" t="n"/>
      <c r="E287" s="7">
        <f>IF(D287="","",D287-C287)</f>
        <v/>
      </c>
      <c r="F287" s="17" t="n"/>
      <c r="G287" s="17" t="n"/>
      <c r="H287" s="15" t="n"/>
      <c r="I287" s="12">
        <f>IF(A287="","",MONTH(A287))</f>
        <v/>
      </c>
    </row>
    <row r="288">
      <c r="A288" s="18" t="n"/>
      <c r="B288" s="15" t="n"/>
      <c r="C288" s="17" t="n"/>
      <c r="D288" s="17" t="n"/>
      <c r="E288" s="7">
        <f>IF(D288="","",D288-C288)</f>
        <v/>
      </c>
      <c r="F288" s="17" t="n"/>
      <c r="G288" s="17" t="n"/>
      <c r="H288" s="15" t="n"/>
      <c r="I288" s="12">
        <f>IF(A288="","",MONTH(A288))</f>
        <v/>
      </c>
    </row>
    <row r="289">
      <c r="A289" s="18" t="n"/>
      <c r="B289" s="15" t="n"/>
      <c r="C289" s="17" t="n"/>
      <c r="D289" s="17" t="n"/>
      <c r="E289" s="7">
        <f>IF(D289="","",D289-C289)</f>
        <v/>
      </c>
      <c r="F289" s="17" t="n"/>
      <c r="G289" s="17" t="n"/>
      <c r="H289" s="15" t="n"/>
      <c r="I289" s="12">
        <f>IF(A289="","",MONTH(A289))</f>
        <v/>
      </c>
    </row>
    <row r="290">
      <c r="A290" s="18" t="n"/>
      <c r="B290" s="15" t="n"/>
      <c r="C290" s="17" t="n"/>
      <c r="D290" s="17" t="n"/>
      <c r="E290" s="7">
        <f>IF(D290="","",D290-C290)</f>
        <v/>
      </c>
      <c r="F290" s="17" t="n"/>
      <c r="G290" s="17" t="n"/>
      <c r="H290" s="15" t="n"/>
      <c r="I290" s="12">
        <f>IF(A290="","",MONTH(A290))</f>
        <v/>
      </c>
    </row>
    <row r="291">
      <c r="A291" s="18" t="n"/>
      <c r="B291" s="15" t="n"/>
      <c r="C291" s="17" t="n"/>
      <c r="D291" s="17" t="n"/>
      <c r="E291" s="7">
        <f>IF(D291="","",D291-C291)</f>
        <v/>
      </c>
      <c r="F291" s="17" t="n"/>
      <c r="G291" s="17" t="n"/>
      <c r="H291" s="15" t="n"/>
      <c r="I291" s="12">
        <f>IF(A291="","",MONTH(A291))</f>
        <v/>
      </c>
    </row>
    <row r="292">
      <c r="A292" s="18" t="n"/>
      <c r="B292" s="15" t="n"/>
      <c r="C292" s="17" t="n"/>
      <c r="D292" s="17" t="n"/>
      <c r="E292" s="7">
        <f>IF(D292="","",D292-C292)</f>
        <v/>
      </c>
      <c r="F292" s="17" t="n"/>
      <c r="G292" s="17" t="n"/>
      <c r="H292" s="15" t="n"/>
      <c r="I292" s="12">
        <f>IF(A292="","",MONTH(A292))</f>
        <v/>
      </c>
    </row>
    <row r="293">
      <c r="A293" s="18" t="n"/>
      <c r="B293" s="15" t="n"/>
      <c r="C293" s="17" t="n"/>
      <c r="D293" s="17" t="n"/>
      <c r="E293" s="7">
        <f>IF(D293="","",D293-C293)</f>
        <v/>
      </c>
      <c r="F293" s="17" t="n"/>
      <c r="G293" s="17" t="n"/>
      <c r="H293" s="15" t="n"/>
      <c r="I293" s="12">
        <f>IF(A293="","",MONTH(A293))</f>
        <v/>
      </c>
    </row>
    <row r="294">
      <c r="A294" s="18" t="n"/>
      <c r="B294" s="15" t="n"/>
      <c r="C294" s="17" t="n"/>
      <c r="D294" s="17" t="n"/>
      <c r="E294" s="7">
        <f>IF(D294="","",D294-C294)</f>
        <v/>
      </c>
      <c r="F294" s="17" t="n"/>
      <c r="G294" s="17" t="n"/>
      <c r="H294" s="15" t="n"/>
      <c r="I294" s="12">
        <f>IF(A294="","",MONTH(A294))</f>
        <v/>
      </c>
    </row>
    <row r="295">
      <c r="A295" s="18" t="n"/>
      <c r="B295" s="15" t="n"/>
      <c r="C295" s="17" t="n"/>
      <c r="D295" s="17" t="n"/>
      <c r="E295" s="7">
        <f>IF(D295="","",D295-C295)</f>
        <v/>
      </c>
      <c r="F295" s="17" t="n"/>
      <c r="G295" s="17" t="n"/>
      <c r="H295" s="15" t="n"/>
      <c r="I295" s="12">
        <f>IF(A295="","",MONTH(A295))</f>
        <v/>
      </c>
    </row>
    <row r="296">
      <c r="A296" s="18" t="n"/>
      <c r="B296" s="15" t="n"/>
      <c r="C296" s="17" t="n"/>
      <c r="D296" s="17" t="n"/>
      <c r="E296" s="7">
        <f>IF(D296="","",D296-C296)</f>
        <v/>
      </c>
      <c r="F296" s="17" t="n"/>
      <c r="G296" s="17" t="n"/>
      <c r="H296" s="15" t="n"/>
      <c r="I296" s="12">
        <f>IF(A296="","",MONTH(A296))</f>
        <v/>
      </c>
    </row>
    <row r="297">
      <c r="A297" s="18" t="n"/>
      <c r="B297" s="15" t="n"/>
      <c r="C297" s="17" t="n"/>
      <c r="D297" s="17" t="n"/>
      <c r="E297" s="7">
        <f>IF(D297="","",D297-C297)</f>
        <v/>
      </c>
      <c r="F297" s="17" t="n"/>
      <c r="G297" s="17" t="n"/>
      <c r="H297" s="15" t="n"/>
      <c r="I297" s="12">
        <f>IF(A297="","",MONTH(A297))</f>
        <v/>
      </c>
    </row>
    <row r="298">
      <c r="A298" s="18" t="n"/>
      <c r="B298" s="15" t="n"/>
      <c r="C298" s="17" t="n"/>
      <c r="D298" s="17" t="n"/>
      <c r="E298" s="7">
        <f>IF(D298="","",D298-C298)</f>
        <v/>
      </c>
      <c r="F298" s="17" t="n"/>
      <c r="G298" s="17" t="n"/>
      <c r="H298" s="15" t="n"/>
      <c r="I298" s="12">
        <f>IF(A298="","",MONTH(A298))</f>
        <v/>
      </c>
    </row>
    <row r="299">
      <c r="A299" s="18" t="n"/>
      <c r="B299" s="15" t="n"/>
      <c r="C299" s="17" t="n"/>
      <c r="D299" s="17" t="n"/>
      <c r="E299" s="7">
        <f>IF(D299="","",D299-C299)</f>
        <v/>
      </c>
      <c r="F299" s="17" t="n"/>
      <c r="G299" s="17" t="n"/>
      <c r="H299" s="15" t="n"/>
      <c r="I299" s="12">
        <f>IF(A299="","",MONTH(A299))</f>
        <v/>
      </c>
    </row>
    <row r="300">
      <c r="A300" s="18" t="n"/>
      <c r="B300" s="15" t="n"/>
      <c r="C300" s="17" t="n"/>
      <c r="D300" s="17" t="n"/>
      <c r="E300" s="7">
        <f>IF(D300="","",D300-C300)</f>
        <v/>
      </c>
      <c r="F300" s="17" t="n"/>
      <c r="G300" s="17" t="n"/>
      <c r="H300" s="15" t="n"/>
      <c r="I300" s="12">
        <f>IF(A300="","",MONTH(A300))</f>
        <v/>
      </c>
    </row>
    <row r="301">
      <c r="A301" s="18" t="n"/>
      <c r="B301" s="15" t="n"/>
      <c r="C301" s="17" t="n"/>
      <c r="D301" s="17" t="n"/>
      <c r="E301" s="7">
        <f>IF(D301="","",D301-C301)</f>
        <v/>
      </c>
      <c r="F301" s="17" t="n"/>
      <c r="G301" s="17" t="n"/>
      <c r="H301" s="15" t="n"/>
      <c r="I301" s="12">
        <f>IF(A301="","",MONTH(A301))</f>
        <v/>
      </c>
    </row>
    <row r="302">
      <c r="A302" s="18" t="n"/>
      <c r="B302" s="15" t="n"/>
      <c r="C302" s="17" t="n"/>
      <c r="D302" s="17" t="n"/>
      <c r="E302" s="7">
        <f>IF(D302="","",D302-C302)</f>
        <v/>
      </c>
      <c r="F302" s="17" t="n"/>
      <c r="G302" s="17" t="n"/>
      <c r="H302" s="15" t="n"/>
      <c r="I302" s="12">
        <f>IF(A302="","",MONTH(A302))</f>
        <v/>
      </c>
    </row>
    <row r="303">
      <c r="A303" s="18" t="n"/>
      <c r="B303" s="15" t="n"/>
      <c r="C303" s="17" t="n"/>
      <c r="D303" s="17" t="n"/>
      <c r="E303" s="7">
        <f>IF(D303="","",D303-C303)</f>
        <v/>
      </c>
      <c r="F303" s="17" t="n"/>
      <c r="G303" s="17" t="n"/>
      <c r="H303" s="15" t="n"/>
      <c r="I303" s="12">
        <f>IF(A303="","",MONTH(A303))</f>
        <v/>
      </c>
    </row>
    <row r="304">
      <c r="A304" s="18" t="n"/>
      <c r="B304" s="15" t="n"/>
      <c r="C304" s="17" t="n"/>
      <c r="D304" s="17" t="n"/>
      <c r="E304" s="7">
        <f>IF(D304="","",D304-C304)</f>
        <v/>
      </c>
      <c r="F304" s="17" t="n"/>
      <c r="G304" s="17" t="n"/>
      <c r="H304" s="15" t="n"/>
      <c r="I304" s="12">
        <f>IF(A304="","",MONTH(A304))</f>
        <v/>
      </c>
    </row>
    <row r="305">
      <c r="A305" s="18" t="n"/>
      <c r="B305" s="15" t="n"/>
      <c r="C305" s="17" t="n"/>
      <c r="D305" s="17" t="n"/>
      <c r="E305" s="7">
        <f>IF(D305="","",D305-C305)</f>
        <v/>
      </c>
      <c r="F305" s="17" t="n"/>
      <c r="G305" s="17" t="n"/>
      <c r="H305" s="15" t="n"/>
      <c r="I305" s="12">
        <f>IF(A305="","",MONTH(A305))</f>
        <v/>
      </c>
    </row>
    <row r="306">
      <c r="A306" s="18" t="n"/>
      <c r="B306" s="15" t="n"/>
      <c r="C306" s="17" t="n"/>
      <c r="D306" s="17" t="n"/>
      <c r="E306" s="7">
        <f>IF(D306="","",D306-C306)</f>
        <v/>
      </c>
      <c r="F306" s="17" t="n"/>
      <c r="G306" s="17" t="n"/>
      <c r="H306" s="15" t="n"/>
      <c r="I306" s="12">
        <f>IF(A306="","",MONTH(A306))</f>
        <v/>
      </c>
    </row>
    <row r="307">
      <c r="A307" s="18" t="n"/>
      <c r="B307" s="15" t="n"/>
      <c r="C307" s="17" t="n"/>
      <c r="D307" s="17" t="n"/>
      <c r="E307" s="7">
        <f>IF(D307="","",D307-C307)</f>
        <v/>
      </c>
      <c r="F307" s="17" t="n"/>
      <c r="G307" s="17" t="n"/>
      <c r="H307" s="15" t="n"/>
      <c r="I307" s="12">
        <f>IF(A307="","",MONTH(A307))</f>
        <v/>
      </c>
    </row>
    <row r="308">
      <c r="A308" s="18" t="n"/>
      <c r="B308" s="15" t="n"/>
      <c r="C308" s="17" t="n"/>
      <c r="D308" s="17" t="n"/>
      <c r="E308" s="7">
        <f>IF(D308="","",D308-C308)</f>
        <v/>
      </c>
      <c r="F308" s="17" t="n"/>
      <c r="G308" s="17" t="n"/>
      <c r="H308" s="15" t="n"/>
      <c r="I308" s="12">
        <f>IF(A308="","",MONTH(A308))</f>
        <v/>
      </c>
    </row>
    <row r="309">
      <c r="A309" s="18" t="n"/>
      <c r="B309" s="15" t="n"/>
      <c r="C309" s="17" t="n"/>
      <c r="D309" s="17" t="n"/>
      <c r="E309" s="7">
        <f>IF(D309="","",D309-C309)</f>
        <v/>
      </c>
      <c r="F309" s="17" t="n"/>
      <c r="G309" s="17" t="n"/>
      <c r="H309" s="15" t="n"/>
      <c r="I309" s="12">
        <f>IF(A309="","",MONTH(A309))</f>
        <v/>
      </c>
    </row>
    <row r="310">
      <c r="A310" s="18" t="n"/>
      <c r="B310" s="15" t="n"/>
      <c r="C310" s="17" t="n"/>
      <c r="D310" s="17" t="n"/>
      <c r="E310" s="7">
        <f>IF(D310="","",D310-C310)</f>
        <v/>
      </c>
      <c r="F310" s="17" t="n"/>
      <c r="G310" s="17" t="n"/>
      <c r="H310" s="15" t="n"/>
      <c r="I310" s="12">
        <f>IF(A310="","",MONTH(A310))</f>
        <v/>
      </c>
    </row>
    <row r="311">
      <c r="A311" s="18" t="n"/>
      <c r="B311" s="15" t="n"/>
      <c r="C311" s="17" t="n"/>
      <c r="D311" s="17" t="n"/>
      <c r="E311" s="7">
        <f>IF(D311="","",D311-C311)</f>
        <v/>
      </c>
      <c r="F311" s="17" t="n"/>
      <c r="G311" s="17" t="n"/>
      <c r="H311" s="15" t="n"/>
      <c r="I311" s="12">
        <f>IF(A311="","",MONTH(A311))</f>
        <v/>
      </c>
    </row>
    <row r="312">
      <c r="A312" s="18" t="n"/>
      <c r="B312" s="15" t="n"/>
      <c r="C312" s="17" t="n"/>
      <c r="D312" s="17" t="n"/>
      <c r="E312" s="7">
        <f>IF(D312="","",D312-C312)</f>
        <v/>
      </c>
      <c r="F312" s="17" t="n"/>
      <c r="G312" s="17" t="n"/>
      <c r="H312" s="15" t="n"/>
      <c r="I312" s="12">
        <f>IF(A312="","",MONTH(A312))</f>
        <v/>
      </c>
    </row>
    <row r="313">
      <c r="A313" s="18" t="n"/>
      <c r="B313" s="15" t="n"/>
      <c r="C313" s="17" t="n"/>
      <c r="D313" s="17" t="n"/>
      <c r="E313" s="7">
        <f>IF(D313="","",D313-C313)</f>
        <v/>
      </c>
      <c r="F313" s="17" t="n"/>
      <c r="G313" s="17" t="n"/>
      <c r="H313" s="15" t="n"/>
      <c r="I313" s="12">
        <f>IF(A313="","",MONTH(A313))</f>
        <v/>
      </c>
    </row>
    <row r="314">
      <c r="A314" s="18" t="n"/>
      <c r="B314" s="15" t="n"/>
      <c r="C314" s="17" t="n"/>
      <c r="D314" s="17" t="n"/>
      <c r="E314" s="7">
        <f>IF(D314="","",D314-C314)</f>
        <v/>
      </c>
      <c r="F314" s="17" t="n"/>
      <c r="G314" s="17" t="n"/>
      <c r="H314" s="15" t="n"/>
      <c r="I314" s="12">
        <f>IF(A314="","",MONTH(A314))</f>
        <v/>
      </c>
    </row>
    <row r="315">
      <c r="A315" s="18" t="n"/>
      <c r="B315" s="15" t="n"/>
      <c r="C315" s="17" t="n"/>
      <c r="D315" s="17" t="n"/>
      <c r="E315" s="7">
        <f>IF(D315="","",D315-C315)</f>
        <v/>
      </c>
      <c r="F315" s="17" t="n"/>
      <c r="G315" s="17" t="n"/>
      <c r="H315" s="15" t="n"/>
      <c r="I315" s="12">
        <f>IF(A315="","",MONTH(A315))</f>
        <v/>
      </c>
    </row>
    <row r="316">
      <c r="A316" s="18" t="n"/>
      <c r="B316" s="15" t="n"/>
      <c r="C316" s="17" t="n"/>
      <c r="D316" s="17" t="n"/>
      <c r="E316" s="7">
        <f>IF(D316="","",D316-C316)</f>
        <v/>
      </c>
      <c r="F316" s="17" t="n"/>
      <c r="G316" s="17" t="n"/>
      <c r="H316" s="15" t="n"/>
      <c r="I316" s="12">
        <f>IF(A316="","",MONTH(A316))</f>
        <v/>
      </c>
    </row>
    <row r="317">
      <c r="A317" s="18" t="n"/>
      <c r="B317" s="15" t="n"/>
      <c r="C317" s="17" t="n"/>
      <c r="D317" s="17" t="n"/>
      <c r="E317" s="7">
        <f>IF(D317="","",D317-C317)</f>
        <v/>
      </c>
      <c r="F317" s="17" t="n"/>
      <c r="G317" s="17" t="n"/>
      <c r="H317" s="15" t="n"/>
      <c r="I317" s="12">
        <f>IF(A317="","",MONTH(A317))</f>
        <v/>
      </c>
    </row>
    <row r="318">
      <c r="A318" s="18" t="n"/>
      <c r="B318" s="15" t="n"/>
      <c r="C318" s="17" t="n"/>
      <c r="D318" s="17" t="n"/>
      <c r="E318" s="7">
        <f>IF(D318="","",D318-C318)</f>
        <v/>
      </c>
      <c r="F318" s="17" t="n"/>
      <c r="G318" s="17" t="n"/>
      <c r="H318" s="15" t="n"/>
      <c r="I318" s="12">
        <f>IF(A318="","",MONTH(A318))</f>
        <v/>
      </c>
    </row>
    <row r="319">
      <c r="A319" s="18" t="n"/>
      <c r="B319" s="15" t="n"/>
      <c r="C319" s="17" t="n"/>
      <c r="D319" s="17" t="n"/>
      <c r="E319" s="7">
        <f>IF(D319="","",D319-C319)</f>
        <v/>
      </c>
      <c r="F319" s="17" t="n"/>
      <c r="G319" s="17" t="n"/>
      <c r="H319" s="15" t="n"/>
      <c r="I319" s="12">
        <f>IF(A319="","",MONTH(A319))</f>
        <v/>
      </c>
    </row>
    <row r="320">
      <c r="A320" s="18" t="n"/>
      <c r="B320" s="15" t="n"/>
      <c r="C320" s="17" t="n"/>
      <c r="D320" s="17" t="n"/>
      <c r="E320" s="7">
        <f>IF(D320="","",D320-C320)</f>
        <v/>
      </c>
      <c r="F320" s="17" t="n"/>
      <c r="G320" s="17" t="n"/>
      <c r="H320" s="15" t="n"/>
      <c r="I320" s="12">
        <f>IF(A320="","",MONTH(A320))</f>
        <v/>
      </c>
    </row>
    <row r="321">
      <c r="A321" s="18" t="n"/>
      <c r="B321" s="15" t="n"/>
      <c r="C321" s="17" t="n"/>
      <c r="D321" s="17" t="n"/>
      <c r="E321" s="7">
        <f>IF(D321="","",D321-C321)</f>
        <v/>
      </c>
      <c r="F321" s="17" t="n"/>
      <c r="G321" s="17" t="n"/>
      <c r="H321" s="15" t="n"/>
      <c r="I321" s="12">
        <f>IF(A321="","",MONTH(A321))</f>
        <v/>
      </c>
    </row>
    <row r="322">
      <c r="A322" s="18" t="n"/>
      <c r="B322" s="15" t="n"/>
      <c r="C322" s="17" t="n"/>
      <c r="D322" s="17" t="n"/>
      <c r="E322" s="7">
        <f>IF(D322="","",D322-C322)</f>
        <v/>
      </c>
      <c r="F322" s="17" t="n"/>
      <c r="G322" s="17" t="n"/>
      <c r="H322" s="15" t="n"/>
      <c r="I322" s="12">
        <f>IF(A322="","",MONTH(A322))</f>
        <v/>
      </c>
    </row>
    <row r="323">
      <c r="A323" s="18" t="n"/>
      <c r="B323" s="15" t="n"/>
      <c r="C323" s="17" t="n"/>
      <c r="D323" s="17" t="n"/>
      <c r="E323" s="7">
        <f>IF(D323="","",D323-C323)</f>
        <v/>
      </c>
      <c r="F323" s="17" t="n"/>
      <c r="G323" s="17" t="n"/>
      <c r="H323" s="15" t="n"/>
      <c r="I323" s="12">
        <f>IF(A323="","",MONTH(A323))</f>
        <v/>
      </c>
    </row>
    <row r="324">
      <c r="A324" s="18" t="n"/>
      <c r="B324" s="15" t="n"/>
      <c r="C324" s="17" t="n"/>
      <c r="D324" s="17" t="n"/>
      <c r="E324" s="7">
        <f>IF(D324="","",D324-C324)</f>
        <v/>
      </c>
      <c r="F324" s="17" t="n"/>
      <c r="G324" s="17" t="n"/>
      <c r="H324" s="15" t="n"/>
      <c r="I324" s="12">
        <f>IF(A324="","",MONTH(A324))</f>
        <v/>
      </c>
    </row>
    <row r="325">
      <c r="A325" s="18" t="n"/>
      <c r="B325" s="15" t="n"/>
      <c r="C325" s="17" t="n"/>
      <c r="D325" s="17" t="n"/>
      <c r="E325" s="7">
        <f>IF(D325="","",D325-C325)</f>
        <v/>
      </c>
      <c r="F325" s="17" t="n"/>
      <c r="G325" s="17" t="n"/>
      <c r="H325" s="15" t="n"/>
      <c r="I325" s="12">
        <f>IF(A325="","",MONTH(A325))</f>
        <v/>
      </c>
    </row>
    <row r="326">
      <c r="A326" s="18" t="n"/>
      <c r="B326" s="15" t="n"/>
      <c r="C326" s="17" t="n"/>
      <c r="D326" s="17" t="n"/>
      <c r="E326" s="7">
        <f>IF(D326="","",D326-C326)</f>
        <v/>
      </c>
      <c r="F326" s="17" t="n"/>
      <c r="G326" s="17" t="n"/>
      <c r="H326" s="15" t="n"/>
      <c r="I326" s="12">
        <f>IF(A326="","",MONTH(A326))</f>
        <v/>
      </c>
    </row>
    <row r="327">
      <c r="A327" s="18" t="n"/>
      <c r="B327" s="15" t="n"/>
      <c r="C327" s="17" t="n"/>
      <c r="D327" s="17" t="n"/>
      <c r="E327" s="7">
        <f>IF(D327="","",D327-C327)</f>
        <v/>
      </c>
      <c r="F327" s="17" t="n"/>
      <c r="G327" s="17" t="n"/>
      <c r="H327" s="15" t="n"/>
      <c r="I327" s="12">
        <f>IF(A327="","",MONTH(A327))</f>
        <v/>
      </c>
    </row>
    <row r="328">
      <c r="A328" s="18" t="n"/>
      <c r="B328" s="15" t="n"/>
      <c r="C328" s="17" t="n"/>
      <c r="D328" s="17" t="n"/>
      <c r="E328" s="7">
        <f>IF(D328="","",D328-C328)</f>
        <v/>
      </c>
      <c r="F328" s="17" t="n"/>
      <c r="G328" s="17" t="n"/>
      <c r="H328" s="15" t="n"/>
      <c r="I328" s="12">
        <f>IF(A328="","",MONTH(A328))</f>
        <v/>
      </c>
    </row>
    <row r="329">
      <c r="A329" s="18" t="n"/>
      <c r="B329" s="15" t="n"/>
      <c r="C329" s="17" t="n"/>
      <c r="D329" s="17" t="n"/>
      <c r="E329" s="7">
        <f>IF(D329="","",D329-C329)</f>
        <v/>
      </c>
      <c r="F329" s="17" t="n"/>
      <c r="G329" s="17" t="n"/>
      <c r="H329" s="15" t="n"/>
      <c r="I329" s="12">
        <f>IF(A329="","",MONTH(A329))</f>
        <v/>
      </c>
    </row>
    <row r="330">
      <c r="A330" s="18" t="n"/>
      <c r="B330" s="15" t="n"/>
      <c r="C330" s="17" t="n"/>
      <c r="D330" s="17" t="n"/>
      <c r="E330" s="7">
        <f>IF(D330="","",D330-C330)</f>
        <v/>
      </c>
      <c r="F330" s="17" t="n"/>
      <c r="G330" s="17" t="n"/>
      <c r="H330" s="15" t="n"/>
      <c r="I330" s="12">
        <f>IF(A330="","",MONTH(A330))</f>
        <v/>
      </c>
    </row>
    <row r="331">
      <c r="A331" s="18" t="n"/>
      <c r="B331" s="15" t="n"/>
      <c r="C331" s="17" t="n"/>
      <c r="D331" s="17" t="n"/>
      <c r="E331" s="7">
        <f>IF(D331="","",D331-C331)</f>
        <v/>
      </c>
      <c r="F331" s="17" t="n"/>
      <c r="G331" s="17" t="n"/>
      <c r="H331" s="15" t="n"/>
      <c r="I331" s="12">
        <f>IF(A331="","",MONTH(A331))</f>
        <v/>
      </c>
    </row>
    <row r="332">
      <c r="A332" s="18" t="n"/>
      <c r="B332" s="15" t="n"/>
      <c r="C332" s="17" t="n"/>
      <c r="D332" s="17" t="n"/>
      <c r="E332" s="7">
        <f>IF(D332="","",D332-C332)</f>
        <v/>
      </c>
      <c r="F332" s="17" t="n"/>
      <c r="G332" s="17" t="n"/>
      <c r="H332" s="15" t="n"/>
      <c r="I332" s="12">
        <f>IF(A332="","",MONTH(A332))</f>
        <v/>
      </c>
    </row>
    <row r="333">
      <c r="A333" s="18" t="n"/>
      <c r="B333" s="15" t="n"/>
      <c r="C333" s="17" t="n"/>
      <c r="D333" s="17" t="n"/>
      <c r="E333" s="7">
        <f>IF(D333="","",D333-C333)</f>
        <v/>
      </c>
      <c r="F333" s="17" t="n"/>
      <c r="G333" s="17" t="n"/>
      <c r="H333" s="15" t="n"/>
      <c r="I333" s="12">
        <f>IF(A333="","",MONTH(A333))</f>
        <v/>
      </c>
    </row>
    <row r="334">
      <c r="A334" s="18" t="n"/>
      <c r="B334" s="15" t="n"/>
      <c r="C334" s="17" t="n"/>
      <c r="D334" s="17" t="n"/>
      <c r="E334" s="7">
        <f>IF(D334="","",D334-C334)</f>
        <v/>
      </c>
      <c r="F334" s="17" t="n"/>
      <c r="G334" s="17" t="n"/>
      <c r="H334" s="15" t="n"/>
      <c r="I334" s="12">
        <f>IF(A334="","",MONTH(A334))</f>
        <v/>
      </c>
    </row>
    <row r="335">
      <c r="A335" s="18" t="n"/>
      <c r="B335" s="15" t="n"/>
      <c r="C335" s="17" t="n"/>
      <c r="D335" s="17" t="n"/>
      <c r="E335" s="7">
        <f>IF(D335="","",D335-C335)</f>
        <v/>
      </c>
      <c r="F335" s="17" t="n"/>
      <c r="G335" s="17" t="n"/>
      <c r="H335" s="15" t="n"/>
      <c r="I335" s="12">
        <f>IF(A335="","",MONTH(A335))</f>
        <v/>
      </c>
    </row>
    <row r="336">
      <c r="A336" s="18" t="n"/>
      <c r="B336" s="15" t="n"/>
      <c r="C336" s="17" t="n"/>
      <c r="D336" s="17" t="n"/>
      <c r="E336" s="7">
        <f>IF(D336="","",D336-C336)</f>
        <v/>
      </c>
      <c r="F336" s="17" t="n"/>
      <c r="G336" s="17" t="n"/>
      <c r="H336" s="15" t="n"/>
      <c r="I336" s="12">
        <f>IF(A336="","",MONTH(A336))</f>
        <v/>
      </c>
    </row>
    <row r="337">
      <c r="A337" s="18" t="n"/>
      <c r="B337" s="15" t="n"/>
      <c r="C337" s="17" t="n"/>
      <c r="D337" s="17" t="n"/>
      <c r="E337" s="7">
        <f>IF(D337="","",D337-C337)</f>
        <v/>
      </c>
      <c r="F337" s="17" t="n"/>
      <c r="G337" s="17" t="n"/>
      <c r="H337" s="15" t="n"/>
      <c r="I337" s="12">
        <f>IF(A337="","",MONTH(A337))</f>
        <v/>
      </c>
    </row>
    <row r="338">
      <c r="A338" s="18" t="n"/>
      <c r="B338" s="15" t="n"/>
      <c r="C338" s="17" t="n"/>
      <c r="D338" s="17" t="n"/>
      <c r="E338" s="7">
        <f>IF(D338="","",D338-C338)</f>
        <v/>
      </c>
      <c r="F338" s="17" t="n"/>
      <c r="G338" s="17" t="n"/>
      <c r="H338" s="15" t="n"/>
      <c r="I338" s="12">
        <f>IF(A338="","",MONTH(A338))</f>
        <v/>
      </c>
    </row>
    <row r="339">
      <c r="A339" s="18" t="n"/>
      <c r="B339" s="15" t="n"/>
      <c r="C339" s="17" t="n"/>
      <c r="D339" s="17" t="n"/>
      <c r="E339" s="7">
        <f>IF(D339="","",D339-C339)</f>
        <v/>
      </c>
      <c r="F339" s="17" t="n"/>
      <c r="G339" s="17" t="n"/>
      <c r="H339" s="15" t="n"/>
      <c r="I339" s="12">
        <f>IF(A339="","",MONTH(A339))</f>
        <v/>
      </c>
    </row>
    <row r="340">
      <c r="A340" s="18" t="n"/>
      <c r="B340" s="15" t="n"/>
      <c r="C340" s="17" t="n"/>
      <c r="D340" s="17" t="n"/>
      <c r="E340" s="7">
        <f>IF(D340="","",D340-C340)</f>
        <v/>
      </c>
      <c r="F340" s="17" t="n"/>
      <c r="G340" s="17" t="n"/>
      <c r="H340" s="15" t="n"/>
      <c r="I340" s="12">
        <f>IF(A340="","",MONTH(A340))</f>
        <v/>
      </c>
    </row>
    <row r="341">
      <c r="A341" s="18" t="n"/>
      <c r="B341" s="15" t="n"/>
      <c r="C341" s="17" t="n"/>
      <c r="D341" s="17" t="n"/>
      <c r="E341" s="7">
        <f>IF(D341="","",D341-C341)</f>
        <v/>
      </c>
      <c r="F341" s="17" t="n"/>
      <c r="G341" s="17" t="n"/>
      <c r="H341" s="15" t="n"/>
      <c r="I341" s="12">
        <f>IF(A341="","",MONTH(A341))</f>
        <v/>
      </c>
    </row>
    <row r="342">
      <c r="A342" s="18" t="n"/>
      <c r="B342" s="15" t="n"/>
      <c r="C342" s="17" t="n"/>
      <c r="D342" s="17" t="n"/>
      <c r="E342" s="7">
        <f>IF(D342="","",D342-C342)</f>
        <v/>
      </c>
      <c r="F342" s="17" t="n"/>
      <c r="G342" s="17" t="n"/>
      <c r="H342" s="15" t="n"/>
      <c r="I342" s="12">
        <f>IF(A342="","",MONTH(A342))</f>
        <v/>
      </c>
    </row>
    <row r="343">
      <c r="A343" s="18" t="n"/>
      <c r="B343" s="15" t="n"/>
      <c r="C343" s="17" t="n"/>
      <c r="D343" s="17" t="n"/>
      <c r="E343" s="7">
        <f>IF(D343="","",D343-C343)</f>
        <v/>
      </c>
      <c r="F343" s="17" t="n"/>
      <c r="G343" s="17" t="n"/>
      <c r="H343" s="15" t="n"/>
      <c r="I343" s="12">
        <f>IF(A343="","",MONTH(A343))</f>
        <v/>
      </c>
    </row>
    <row r="344">
      <c r="A344" s="18" t="n"/>
      <c r="B344" s="15" t="n"/>
      <c r="C344" s="17" t="n"/>
      <c r="D344" s="17" t="n"/>
      <c r="E344" s="7">
        <f>IF(D344="","",D344-C344)</f>
        <v/>
      </c>
      <c r="F344" s="17" t="n"/>
      <c r="G344" s="17" t="n"/>
      <c r="H344" s="15" t="n"/>
      <c r="I344" s="12">
        <f>IF(A344="","",MONTH(A344))</f>
        <v/>
      </c>
    </row>
    <row r="345">
      <c r="A345" s="18" t="n"/>
      <c r="B345" s="15" t="n"/>
      <c r="C345" s="17" t="n"/>
      <c r="D345" s="17" t="n"/>
      <c r="E345" s="7">
        <f>IF(D345="","",D345-C345)</f>
        <v/>
      </c>
      <c r="F345" s="17" t="n"/>
      <c r="G345" s="17" t="n"/>
      <c r="H345" s="15" t="n"/>
      <c r="I345" s="12">
        <f>IF(A345="","",MONTH(A345))</f>
        <v/>
      </c>
    </row>
    <row r="346">
      <c r="A346" s="18" t="n"/>
      <c r="B346" s="15" t="n"/>
      <c r="C346" s="17" t="n"/>
      <c r="D346" s="17" t="n"/>
      <c r="E346" s="7">
        <f>IF(D346="","",D346-C346)</f>
        <v/>
      </c>
      <c r="F346" s="17" t="n"/>
      <c r="G346" s="17" t="n"/>
      <c r="H346" s="15" t="n"/>
      <c r="I346" s="12">
        <f>IF(A346="","",MONTH(A346))</f>
        <v/>
      </c>
    </row>
    <row r="347">
      <c r="A347" s="18" t="n"/>
      <c r="B347" s="15" t="n"/>
      <c r="C347" s="17" t="n"/>
      <c r="D347" s="17" t="n"/>
      <c r="E347" s="7">
        <f>IF(D347="","",D347-C347)</f>
        <v/>
      </c>
      <c r="F347" s="17" t="n"/>
      <c r="G347" s="17" t="n"/>
      <c r="H347" s="15" t="n"/>
      <c r="I347" s="12">
        <f>IF(A347="","",MONTH(A347))</f>
        <v/>
      </c>
    </row>
    <row r="348">
      <c r="A348" s="18" t="n"/>
      <c r="B348" s="15" t="n"/>
      <c r="C348" s="17" t="n"/>
      <c r="D348" s="17" t="n"/>
      <c r="E348" s="7">
        <f>IF(D348="","",D348-C348)</f>
        <v/>
      </c>
      <c r="F348" s="17" t="n"/>
      <c r="G348" s="17" t="n"/>
      <c r="H348" s="15" t="n"/>
      <c r="I348" s="12">
        <f>IF(A348="","",MONTH(A348))</f>
        <v/>
      </c>
    </row>
    <row r="349">
      <c r="A349" s="18" t="n"/>
      <c r="B349" s="15" t="n"/>
      <c r="C349" s="17" t="n"/>
      <c r="D349" s="17" t="n"/>
      <c r="E349" s="7">
        <f>IF(D349="","",D349-C349)</f>
        <v/>
      </c>
      <c r="F349" s="17" t="n"/>
      <c r="G349" s="17" t="n"/>
      <c r="H349" s="15" t="n"/>
      <c r="I349" s="12">
        <f>IF(A349="","",MONTH(A349))</f>
        <v/>
      </c>
    </row>
    <row r="350">
      <c r="A350" s="18" t="n"/>
      <c r="B350" s="15" t="n"/>
      <c r="C350" s="17" t="n"/>
      <c r="D350" s="17" t="n"/>
      <c r="E350" s="7">
        <f>IF(D350="","",D350-C350)</f>
        <v/>
      </c>
      <c r="F350" s="17" t="n"/>
      <c r="G350" s="17" t="n"/>
      <c r="H350" s="15" t="n"/>
      <c r="I350" s="12">
        <f>IF(A350="","",MONTH(A350))</f>
        <v/>
      </c>
    </row>
    <row r="351">
      <c r="A351" s="18" t="n"/>
      <c r="B351" s="15" t="n"/>
      <c r="C351" s="17" t="n"/>
      <c r="D351" s="17" t="n"/>
      <c r="E351" s="7">
        <f>IF(D351="","",D351-C351)</f>
        <v/>
      </c>
      <c r="F351" s="17" t="n"/>
      <c r="G351" s="17" t="n"/>
      <c r="H351" s="15" t="n"/>
      <c r="I351" s="12">
        <f>IF(A351="","",MONTH(A351))</f>
        <v/>
      </c>
    </row>
    <row r="352">
      <c r="A352" s="18" t="n"/>
      <c r="B352" s="15" t="n"/>
      <c r="C352" s="17" t="n"/>
      <c r="D352" s="17" t="n"/>
      <c r="E352" s="7">
        <f>IF(D352="","",D352-C352)</f>
        <v/>
      </c>
      <c r="F352" s="17" t="n"/>
      <c r="G352" s="17" t="n"/>
      <c r="H352" s="15" t="n"/>
      <c r="I352" s="12">
        <f>IF(A352="","",MONTH(A352))</f>
        <v/>
      </c>
    </row>
    <row r="353">
      <c r="A353" s="18" t="n"/>
      <c r="B353" s="15" t="n"/>
      <c r="C353" s="17" t="n"/>
      <c r="D353" s="17" t="n"/>
      <c r="E353" s="7">
        <f>IF(D353="","",D353-C353)</f>
        <v/>
      </c>
      <c r="F353" s="17" t="n"/>
      <c r="G353" s="17" t="n"/>
      <c r="H353" s="15" t="n"/>
      <c r="I353" s="12">
        <f>IF(A353="","",MONTH(A353))</f>
        <v/>
      </c>
    </row>
    <row r="354">
      <c r="A354" s="18" t="n"/>
      <c r="B354" s="15" t="n"/>
      <c r="C354" s="17" t="n"/>
      <c r="D354" s="17" t="n"/>
      <c r="E354" s="7">
        <f>IF(D354="","",D354-C354)</f>
        <v/>
      </c>
      <c r="F354" s="17" t="n"/>
      <c r="G354" s="17" t="n"/>
      <c r="H354" s="15" t="n"/>
      <c r="I354" s="12">
        <f>IF(A354="","",MONTH(A354))</f>
        <v/>
      </c>
    </row>
    <row r="355">
      <c r="A355" s="18" t="n"/>
      <c r="B355" s="15" t="n"/>
      <c r="C355" s="17" t="n"/>
      <c r="D355" s="17" t="n"/>
      <c r="E355" s="7">
        <f>IF(D355="","",D355-C355)</f>
        <v/>
      </c>
      <c r="F355" s="17" t="n"/>
      <c r="G355" s="17" t="n"/>
      <c r="H355" s="15" t="n"/>
      <c r="I355" s="12">
        <f>IF(A355="","",MONTH(A355))</f>
        <v/>
      </c>
    </row>
    <row r="356">
      <c r="A356" s="18" t="n"/>
      <c r="B356" s="15" t="n"/>
      <c r="C356" s="17" t="n"/>
      <c r="D356" s="17" t="n"/>
      <c r="E356" s="7">
        <f>IF(D356="","",D356-C356)</f>
        <v/>
      </c>
      <c r="F356" s="17" t="n"/>
      <c r="G356" s="17" t="n"/>
      <c r="H356" s="15" t="n"/>
      <c r="I356" s="12">
        <f>IF(A356="","",MONTH(A356))</f>
        <v/>
      </c>
    </row>
    <row r="357">
      <c r="A357" s="18" t="n"/>
      <c r="B357" s="15" t="n"/>
      <c r="C357" s="17" t="n"/>
      <c r="D357" s="17" t="n"/>
      <c r="E357" s="7">
        <f>IF(D357="","",D357-C357)</f>
        <v/>
      </c>
      <c r="F357" s="17" t="n"/>
      <c r="G357" s="17" t="n"/>
      <c r="H357" s="15" t="n"/>
      <c r="I357" s="12">
        <f>IF(A357="","",MONTH(A357))</f>
        <v/>
      </c>
    </row>
    <row r="358">
      <c r="A358" s="18" t="n"/>
      <c r="B358" s="15" t="n"/>
      <c r="C358" s="17" t="n"/>
      <c r="D358" s="17" t="n"/>
      <c r="E358" s="7">
        <f>IF(D358="","",D358-C358)</f>
        <v/>
      </c>
      <c r="F358" s="17" t="n"/>
      <c r="G358" s="17" t="n"/>
      <c r="H358" s="15" t="n"/>
      <c r="I358" s="12">
        <f>IF(A358="","",MONTH(A358))</f>
        <v/>
      </c>
    </row>
    <row r="359">
      <c r="A359" s="18" t="n"/>
      <c r="B359" s="15" t="n"/>
      <c r="C359" s="17" t="n"/>
      <c r="D359" s="17" t="n"/>
      <c r="E359" s="7">
        <f>IF(D359="","",D359-C359)</f>
        <v/>
      </c>
      <c r="F359" s="17" t="n"/>
      <c r="G359" s="17" t="n"/>
      <c r="H359" s="15" t="n"/>
      <c r="I359" s="12">
        <f>IF(A359="","",MONTH(A359))</f>
        <v/>
      </c>
    </row>
    <row r="360">
      <c r="A360" s="18" t="n"/>
      <c r="B360" s="15" t="n"/>
      <c r="C360" s="17" t="n"/>
      <c r="D360" s="17" t="n"/>
      <c r="E360" s="7">
        <f>IF(D360="","",D360-C360)</f>
        <v/>
      </c>
      <c r="F360" s="17" t="n"/>
      <c r="G360" s="17" t="n"/>
      <c r="H360" s="15" t="n"/>
      <c r="I360" s="12">
        <f>IF(A360="","",MONTH(A360))</f>
        <v/>
      </c>
    </row>
    <row r="361">
      <c r="A361" s="18" t="n"/>
      <c r="B361" s="15" t="n"/>
      <c r="C361" s="17" t="n"/>
      <c r="D361" s="17" t="n"/>
      <c r="E361" s="7">
        <f>IF(D361="","",D361-C361)</f>
        <v/>
      </c>
      <c r="F361" s="17" t="n"/>
      <c r="G361" s="17" t="n"/>
      <c r="H361" s="15" t="n"/>
      <c r="I361" s="12">
        <f>IF(A361="","",MONTH(A361))</f>
        <v/>
      </c>
    </row>
    <row r="362">
      <c r="A362" s="18" t="n"/>
      <c r="B362" s="15" t="n"/>
      <c r="C362" s="17" t="n"/>
      <c r="D362" s="17" t="n"/>
      <c r="E362" s="7">
        <f>IF(D362="","",D362-C362)</f>
        <v/>
      </c>
      <c r="F362" s="17" t="n"/>
      <c r="G362" s="17" t="n"/>
      <c r="H362" s="15" t="n"/>
      <c r="I362" s="12">
        <f>IF(A362="","",MONTH(A362))</f>
        <v/>
      </c>
    </row>
    <row r="363">
      <c r="A363" s="18" t="n"/>
      <c r="B363" s="15" t="n"/>
      <c r="C363" s="17" t="n"/>
      <c r="D363" s="17" t="n"/>
      <c r="E363" s="7">
        <f>IF(D363="","",D363-C363)</f>
        <v/>
      </c>
      <c r="F363" s="17" t="n"/>
      <c r="G363" s="17" t="n"/>
      <c r="H363" s="15" t="n"/>
      <c r="I363" s="12">
        <f>IF(A363="","",MONTH(A363))</f>
        <v/>
      </c>
    </row>
    <row r="364">
      <c r="A364" s="18" t="n"/>
      <c r="B364" s="15" t="n"/>
      <c r="C364" s="17" t="n"/>
      <c r="D364" s="17" t="n"/>
      <c r="E364" s="7">
        <f>IF(D364="","",D364-C364)</f>
        <v/>
      </c>
      <c r="F364" s="17" t="n"/>
      <c r="G364" s="17" t="n"/>
      <c r="H364" s="15" t="n"/>
      <c r="I364" s="12">
        <f>IF(A364="","",MONTH(A364))</f>
        <v/>
      </c>
    </row>
    <row r="365">
      <c r="A365" s="18" t="n"/>
      <c r="B365" s="15" t="n"/>
      <c r="C365" s="17" t="n"/>
      <c r="D365" s="17" t="n"/>
      <c r="E365" s="7">
        <f>IF(D365="","",D365-C365)</f>
        <v/>
      </c>
      <c r="F365" s="17" t="n"/>
      <c r="G365" s="17" t="n"/>
      <c r="H365" s="15" t="n"/>
      <c r="I365" s="12">
        <f>IF(A365="","",MONTH(A365))</f>
        <v/>
      </c>
    </row>
    <row r="366">
      <c r="A366" s="18" t="n"/>
      <c r="B366" s="15" t="n"/>
      <c r="C366" s="17" t="n"/>
      <c r="D366" s="17" t="n"/>
      <c r="E366" s="7">
        <f>IF(D366="","",D366-C366)</f>
        <v/>
      </c>
      <c r="F366" s="17" t="n"/>
      <c r="G366" s="17" t="n"/>
      <c r="H366" s="15" t="n"/>
      <c r="I366" s="12">
        <f>IF(A366="","",MONTH(A366))</f>
        <v/>
      </c>
    </row>
    <row r="367">
      <c r="A367" s="18" t="n"/>
      <c r="B367" s="15" t="n"/>
      <c r="C367" s="17" t="n"/>
      <c r="D367" s="17" t="n"/>
      <c r="E367" s="7">
        <f>IF(D367="","",D367-C367)</f>
        <v/>
      </c>
      <c r="F367" s="17" t="n"/>
      <c r="G367" s="17" t="n"/>
      <c r="H367" s="15" t="n"/>
      <c r="I367" s="12">
        <f>IF(A367="","",MONTH(A367))</f>
        <v/>
      </c>
    </row>
    <row r="368">
      <c r="A368" s="18" t="n"/>
      <c r="B368" s="15" t="n"/>
      <c r="C368" s="17" t="n"/>
      <c r="D368" s="17" t="n"/>
      <c r="E368" s="7">
        <f>IF(D368="","",D368-C368)</f>
        <v/>
      </c>
      <c r="F368" s="17" t="n"/>
      <c r="G368" s="17" t="n"/>
      <c r="H368" s="15" t="n"/>
      <c r="I368" s="12">
        <f>IF(A368="","",MONTH(A368))</f>
        <v/>
      </c>
    </row>
    <row r="369">
      <c r="A369" s="18" t="n"/>
      <c r="B369" s="15" t="n"/>
      <c r="C369" s="17" t="n"/>
      <c r="D369" s="17" t="n"/>
      <c r="E369" s="7">
        <f>IF(D369="","",D369-C369)</f>
        <v/>
      </c>
      <c r="F369" s="17" t="n"/>
      <c r="G369" s="17" t="n"/>
      <c r="H369" s="15" t="n"/>
      <c r="I369" s="12">
        <f>IF(A369="","",MONTH(A369))</f>
        <v/>
      </c>
    </row>
    <row r="370">
      <c r="A370" s="18" t="n"/>
      <c r="B370" s="15" t="n"/>
      <c r="C370" s="17" t="n"/>
      <c r="D370" s="17" t="n"/>
      <c r="E370" s="7">
        <f>IF(D370="","",D370-C370)</f>
        <v/>
      </c>
      <c r="F370" s="17" t="n"/>
      <c r="G370" s="17" t="n"/>
      <c r="H370" s="15" t="n"/>
      <c r="I370" s="12">
        <f>IF(A370="","",MONTH(A370))</f>
        <v/>
      </c>
    </row>
    <row r="371">
      <c r="A371" s="18" t="n"/>
      <c r="B371" s="15" t="n"/>
      <c r="C371" s="17" t="n"/>
      <c r="D371" s="17" t="n"/>
      <c r="E371" s="7">
        <f>IF(D371="","",D371-C371)</f>
        <v/>
      </c>
      <c r="F371" s="17" t="n"/>
      <c r="G371" s="17" t="n"/>
      <c r="H371" s="15" t="n"/>
      <c r="I371" s="12">
        <f>IF(A371="","",MONTH(A371))</f>
        <v/>
      </c>
    </row>
    <row r="372">
      <c r="A372" s="18" t="n"/>
      <c r="B372" s="15" t="n"/>
      <c r="C372" s="17" t="n"/>
      <c r="D372" s="17" t="n"/>
      <c r="E372" s="7">
        <f>IF(D372="","",D372-C372)</f>
        <v/>
      </c>
      <c r="F372" s="17" t="n"/>
      <c r="G372" s="17" t="n"/>
      <c r="H372" s="15" t="n"/>
      <c r="I372" s="12">
        <f>IF(A372="","",MONTH(A372))</f>
        <v/>
      </c>
    </row>
    <row r="373">
      <c r="A373" s="18" t="n"/>
      <c r="B373" s="15" t="n"/>
      <c r="C373" s="17" t="n"/>
      <c r="D373" s="17" t="n"/>
      <c r="E373" s="7">
        <f>IF(D373="","",D373-C373)</f>
        <v/>
      </c>
      <c r="F373" s="17" t="n"/>
      <c r="G373" s="17" t="n"/>
      <c r="H373" s="15" t="n"/>
      <c r="I373" s="12">
        <f>IF(A373="","",MONTH(A373))</f>
        <v/>
      </c>
    </row>
    <row r="374">
      <c r="A374" s="18" t="n"/>
      <c r="B374" s="15" t="n"/>
      <c r="C374" s="17" t="n"/>
      <c r="D374" s="17" t="n"/>
      <c r="E374" s="7">
        <f>IF(D374="","",D374-C374)</f>
        <v/>
      </c>
      <c r="F374" s="17" t="n"/>
      <c r="G374" s="17" t="n"/>
      <c r="H374" s="15" t="n"/>
      <c r="I374" s="12">
        <f>IF(A374="","",MONTH(A374))</f>
        <v/>
      </c>
    </row>
    <row r="375">
      <c r="A375" s="18" t="n"/>
      <c r="B375" s="15" t="n"/>
      <c r="C375" s="17" t="n"/>
      <c r="D375" s="17" t="n"/>
      <c r="E375" s="7">
        <f>IF(D375="","",D375-C375)</f>
        <v/>
      </c>
      <c r="F375" s="17" t="n"/>
      <c r="G375" s="17" t="n"/>
      <c r="H375" s="15" t="n"/>
      <c r="I375" s="12">
        <f>IF(A375="","",MONTH(A375))</f>
        <v/>
      </c>
    </row>
    <row r="376">
      <c r="A376" s="18" t="n"/>
      <c r="B376" s="15" t="n"/>
      <c r="C376" s="17" t="n"/>
      <c r="D376" s="17" t="n"/>
      <c r="E376" s="7">
        <f>IF(D376="","",D376-C376)</f>
        <v/>
      </c>
      <c r="F376" s="17" t="n"/>
      <c r="G376" s="17" t="n"/>
      <c r="H376" s="15" t="n"/>
      <c r="I376" s="12">
        <f>IF(A376="","",MONTH(A376))</f>
        <v/>
      </c>
    </row>
    <row r="377">
      <c r="A377" s="18" t="n"/>
      <c r="B377" s="15" t="n"/>
      <c r="C377" s="17" t="n"/>
      <c r="D377" s="17" t="n"/>
      <c r="E377" s="7">
        <f>IF(D377="","",D377-C377)</f>
        <v/>
      </c>
      <c r="F377" s="17" t="n"/>
      <c r="G377" s="17" t="n"/>
      <c r="H377" s="15" t="n"/>
      <c r="I377" s="12">
        <f>IF(A377="","",MONTH(A377))</f>
        <v/>
      </c>
    </row>
    <row r="378">
      <c r="A378" s="18" t="n"/>
      <c r="B378" s="15" t="n"/>
      <c r="C378" s="17" t="n"/>
      <c r="D378" s="17" t="n"/>
      <c r="E378" s="7">
        <f>IF(D378="","",D378-C378)</f>
        <v/>
      </c>
      <c r="F378" s="17" t="n"/>
      <c r="G378" s="17" t="n"/>
      <c r="H378" s="15" t="n"/>
      <c r="I378" s="12">
        <f>IF(A378="","",MONTH(A378))</f>
        <v/>
      </c>
    </row>
    <row r="379">
      <c r="A379" s="18" t="n"/>
      <c r="B379" s="15" t="n"/>
      <c r="C379" s="17" t="n"/>
      <c r="D379" s="17" t="n"/>
      <c r="E379" s="7">
        <f>IF(D379="","",D379-C379)</f>
        <v/>
      </c>
      <c r="F379" s="17" t="n"/>
      <c r="G379" s="17" t="n"/>
      <c r="H379" s="15" t="n"/>
      <c r="I379" s="12">
        <f>IF(A379="","",MONTH(A379))</f>
        <v/>
      </c>
    </row>
    <row r="380">
      <c r="A380" s="18" t="n"/>
      <c r="B380" s="15" t="n"/>
      <c r="C380" s="17" t="n"/>
      <c r="D380" s="17" t="n"/>
      <c r="E380" s="7">
        <f>IF(D380="","",D380-C380)</f>
        <v/>
      </c>
      <c r="F380" s="17" t="n"/>
      <c r="G380" s="17" t="n"/>
      <c r="H380" s="15" t="n"/>
      <c r="I380" s="12">
        <f>IF(A380="","",MONTH(A380))</f>
        <v/>
      </c>
    </row>
    <row r="381">
      <c r="A381" s="18" t="n"/>
      <c r="B381" s="15" t="n"/>
      <c r="C381" s="17" t="n"/>
      <c r="D381" s="17" t="n"/>
      <c r="E381" s="7">
        <f>IF(D381="","",D381-C381)</f>
        <v/>
      </c>
      <c r="F381" s="17" t="n"/>
      <c r="G381" s="17" t="n"/>
      <c r="H381" s="15" t="n"/>
      <c r="I381" s="12">
        <f>IF(A381="","",MONTH(A381))</f>
        <v/>
      </c>
    </row>
    <row r="382">
      <c r="A382" s="18" t="n"/>
      <c r="B382" s="15" t="n"/>
      <c r="C382" s="17" t="n"/>
      <c r="D382" s="17" t="n"/>
      <c r="E382" s="7">
        <f>IF(D382="","",D382-C382)</f>
        <v/>
      </c>
      <c r="F382" s="17" t="n"/>
      <c r="G382" s="17" t="n"/>
      <c r="H382" s="15" t="n"/>
      <c r="I382" s="12">
        <f>IF(A382="","",MONTH(A382))</f>
        <v/>
      </c>
    </row>
    <row r="383">
      <c r="A383" s="18" t="n"/>
      <c r="B383" s="15" t="n"/>
      <c r="C383" s="17" t="n"/>
      <c r="D383" s="17" t="n"/>
      <c r="E383" s="7">
        <f>IF(D383="","",D383-C383)</f>
        <v/>
      </c>
      <c r="F383" s="17" t="n"/>
      <c r="G383" s="17" t="n"/>
      <c r="H383" s="15" t="n"/>
      <c r="I383" s="12">
        <f>IF(A383="","",MONTH(A383))</f>
        <v/>
      </c>
    </row>
    <row r="384">
      <c r="A384" s="18" t="n"/>
      <c r="B384" s="15" t="n"/>
      <c r="C384" s="17" t="n"/>
      <c r="D384" s="17" t="n"/>
      <c r="E384" s="7">
        <f>IF(D384="","",D384-C384)</f>
        <v/>
      </c>
      <c r="F384" s="17" t="n"/>
      <c r="G384" s="17" t="n"/>
      <c r="H384" s="15" t="n"/>
      <c r="I384" s="12">
        <f>IF(A384="","",MONTH(A384))</f>
        <v/>
      </c>
    </row>
    <row r="385">
      <c r="A385" s="18" t="n"/>
      <c r="B385" s="15" t="n"/>
      <c r="C385" s="17" t="n"/>
      <c r="D385" s="17" t="n"/>
      <c r="E385" s="7">
        <f>IF(D385="","",D385-C385)</f>
        <v/>
      </c>
      <c r="F385" s="17" t="n"/>
      <c r="G385" s="17" t="n"/>
      <c r="H385" s="15" t="n"/>
      <c r="I385" s="12">
        <f>IF(A385="","",MONTH(A385))</f>
        <v/>
      </c>
    </row>
    <row r="386">
      <c r="A386" s="18" t="n"/>
      <c r="B386" s="15" t="n"/>
      <c r="C386" s="17" t="n"/>
      <c r="D386" s="17" t="n"/>
      <c r="E386" s="7">
        <f>IF(D386="","",D386-C386)</f>
        <v/>
      </c>
      <c r="F386" s="17" t="n"/>
      <c r="G386" s="17" t="n"/>
      <c r="H386" s="15" t="n"/>
      <c r="I386" s="12">
        <f>IF(A386="","",MONTH(A386))</f>
        <v/>
      </c>
    </row>
    <row r="387">
      <c r="A387" s="18" t="n"/>
      <c r="B387" s="15" t="n"/>
      <c r="C387" s="17" t="n"/>
      <c r="D387" s="17" t="n"/>
      <c r="E387" s="7">
        <f>IF(D387="","",D387-C387)</f>
        <v/>
      </c>
      <c r="F387" s="17" t="n"/>
      <c r="G387" s="17" t="n"/>
      <c r="H387" s="15" t="n"/>
      <c r="I387" s="12">
        <f>IF(A387="","",MONTH(A387))</f>
        <v/>
      </c>
    </row>
    <row r="388">
      <c r="A388" s="18" t="n"/>
      <c r="B388" s="15" t="n"/>
      <c r="C388" s="17" t="n"/>
      <c r="D388" s="17" t="n"/>
      <c r="E388" s="7">
        <f>IF(D388="","",D388-C388)</f>
        <v/>
      </c>
      <c r="F388" s="17" t="n"/>
      <c r="G388" s="17" t="n"/>
      <c r="H388" s="15" t="n"/>
      <c r="I388" s="12">
        <f>IF(A388="","",MONTH(A388))</f>
        <v/>
      </c>
    </row>
    <row r="389">
      <c r="A389" s="18" t="n"/>
      <c r="B389" s="15" t="n"/>
      <c r="C389" s="17" t="n"/>
      <c r="D389" s="17" t="n"/>
      <c r="E389" s="7">
        <f>IF(D389="","",D389-C389)</f>
        <v/>
      </c>
      <c r="F389" s="17" t="n"/>
      <c r="G389" s="17" t="n"/>
      <c r="H389" s="15" t="n"/>
      <c r="I389" s="12">
        <f>IF(A389="","",MONTH(A389))</f>
        <v/>
      </c>
    </row>
    <row r="390">
      <c r="A390" s="18" t="n"/>
      <c r="B390" s="15" t="n"/>
      <c r="C390" s="17" t="n"/>
      <c r="D390" s="17" t="n"/>
      <c r="E390" s="7">
        <f>IF(D390="","",D390-C390)</f>
        <v/>
      </c>
      <c r="F390" s="17" t="n"/>
      <c r="G390" s="17" t="n"/>
      <c r="H390" s="15" t="n"/>
      <c r="I390" s="12">
        <f>IF(A390="","",MONTH(A390))</f>
        <v/>
      </c>
    </row>
    <row r="391">
      <c r="A391" s="18" t="n"/>
      <c r="B391" s="15" t="n"/>
      <c r="C391" s="17" t="n"/>
      <c r="D391" s="17" t="n"/>
      <c r="E391" s="7">
        <f>IF(D391="","",D391-C391)</f>
        <v/>
      </c>
      <c r="F391" s="17" t="n"/>
      <c r="G391" s="17" t="n"/>
      <c r="H391" s="15" t="n"/>
      <c r="I391" s="12">
        <f>IF(A391="","",MONTH(A391))</f>
        <v/>
      </c>
    </row>
    <row r="392">
      <c r="A392" s="18" t="n"/>
      <c r="B392" s="15" t="n"/>
      <c r="C392" s="17" t="n"/>
      <c r="D392" s="17" t="n"/>
      <c r="E392" s="7">
        <f>IF(D392="","",D392-C392)</f>
        <v/>
      </c>
      <c r="F392" s="17" t="n"/>
      <c r="G392" s="17" t="n"/>
      <c r="H392" s="15" t="n"/>
      <c r="I392" s="12">
        <f>IF(A392="","",MONTH(A392))</f>
        <v/>
      </c>
    </row>
    <row r="393">
      <c r="A393" s="18" t="n"/>
      <c r="B393" s="15" t="n"/>
      <c r="C393" s="17" t="n"/>
      <c r="D393" s="17" t="n"/>
      <c r="E393" s="7">
        <f>IF(D393="","",D393-C393)</f>
        <v/>
      </c>
      <c r="F393" s="17" t="n"/>
      <c r="G393" s="17" t="n"/>
      <c r="H393" s="15" t="n"/>
      <c r="I393" s="12">
        <f>IF(A393="","",MONTH(A393))</f>
        <v/>
      </c>
    </row>
    <row r="394">
      <c r="A394" s="18" t="n"/>
      <c r="B394" s="15" t="n"/>
      <c r="C394" s="17" t="n"/>
      <c r="D394" s="17" t="n"/>
      <c r="E394" s="7">
        <f>IF(D394="","",D394-C394)</f>
        <v/>
      </c>
      <c r="F394" s="17" t="n"/>
      <c r="G394" s="17" t="n"/>
      <c r="H394" s="15" t="n"/>
      <c r="I394" s="12">
        <f>IF(A394="","",MONTH(A394))</f>
        <v/>
      </c>
    </row>
    <row r="395">
      <c r="A395" s="18" t="n"/>
      <c r="B395" s="15" t="n"/>
      <c r="C395" s="17" t="n"/>
      <c r="D395" s="17" t="n"/>
      <c r="E395" s="7">
        <f>IF(D395="","",D395-C395)</f>
        <v/>
      </c>
      <c r="F395" s="17" t="n"/>
      <c r="G395" s="17" t="n"/>
      <c r="H395" s="15" t="n"/>
      <c r="I395" s="12">
        <f>IF(A395="","",MONTH(A395))</f>
        <v/>
      </c>
    </row>
    <row r="396">
      <c r="A396" s="18" t="n"/>
      <c r="B396" s="15" t="n"/>
      <c r="C396" s="17" t="n"/>
      <c r="D396" s="17" t="n"/>
      <c r="E396" s="7">
        <f>IF(D396="","",D396-C396)</f>
        <v/>
      </c>
      <c r="F396" s="17" t="n"/>
      <c r="G396" s="17" t="n"/>
      <c r="H396" s="15" t="n"/>
      <c r="I396" s="12">
        <f>IF(A396="","",MONTH(A396))</f>
        <v/>
      </c>
    </row>
    <row r="397">
      <c r="A397" s="18" t="n"/>
      <c r="B397" s="15" t="n"/>
      <c r="C397" s="17" t="n"/>
      <c r="D397" s="17" t="n"/>
      <c r="E397" s="7">
        <f>IF(D397="","",D397-C397)</f>
        <v/>
      </c>
      <c r="F397" s="17" t="n"/>
      <c r="G397" s="17" t="n"/>
      <c r="H397" s="15" t="n"/>
      <c r="I397" s="12">
        <f>IF(A397="","",MONTH(A397))</f>
        <v/>
      </c>
    </row>
    <row r="398">
      <c r="A398" s="18" t="n"/>
      <c r="B398" s="15" t="n"/>
      <c r="C398" s="17" t="n"/>
      <c r="D398" s="17" t="n"/>
      <c r="E398" s="7">
        <f>IF(D398="","",D398-C398)</f>
        <v/>
      </c>
      <c r="F398" s="17" t="n"/>
      <c r="G398" s="17" t="n"/>
      <c r="H398" s="15" t="n"/>
      <c r="I398" s="12">
        <f>IF(A398="","",MONTH(A398))</f>
        <v/>
      </c>
    </row>
    <row r="399">
      <c r="A399" s="18" t="n"/>
      <c r="B399" s="15" t="n"/>
      <c r="C399" s="17" t="n"/>
      <c r="D399" s="17" t="n"/>
      <c r="E399" s="7">
        <f>IF(D399="","",D399-C399)</f>
        <v/>
      </c>
      <c r="F399" s="17" t="n"/>
      <c r="G399" s="17" t="n"/>
      <c r="H399" s="15" t="n"/>
      <c r="I399" s="12">
        <f>IF(A399="","",MONTH(A399))</f>
        <v/>
      </c>
    </row>
    <row r="400">
      <c r="A400" s="18" t="n"/>
      <c r="B400" s="15" t="n"/>
      <c r="C400" s="17" t="n"/>
      <c r="D400" s="17" t="n"/>
      <c r="E400" s="7">
        <f>IF(D400="","",D400-C400)</f>
        <v/>
      </c>
      <c r="F400" s="17" t="n"/>
      <c r="G400" s="17" t="n"/>
      <c r="H400" s="15" t="n"/>
      <c r="I400" s="12">
        <f>IF(A400="","",MONTH(A400))</f>
        <v/>
      </c>
    </row>
    <row r="401">
      <c r="A401" s="18" t="n"/>
      <c r="B401" s="15" t="n"/>
      <c r="C401" s="17" t="n"/>
      <c r="D401" s="17" t="n"/>
      <c r="E401" s="7">
        <f>IF(D401="","",D401-C401)</f>
        <v/>
      </c>
      <c r="F401" s="17" t="n"/>
      <c r="G401" s="17" t="n"/>
      <c r="H401" s="15" t="n"/>
      <c r="I401" s="12">
        <f>IF(A401="","",MONTH(A401))</f>
        <v/>
      </c>
    </row>
    <row r="402">
      <c r="A402" s="18" t="n"/>
      <c r="B402" s="15" t="n"/>
      <c r="C402" s="17" t="n"/>
      <c r="D402" s="17" t="n"/>
      <c r="E402" s="7">
        <f>IF(D402="","",D402-C402)</f>
        <v/>
      </c>
      <c r="F402" s="17" t="n"/>
      <c r="G402" s="17" t="n"/>
      <c r="H402" s="15" t="n"/>
      <c r="I402" s="12">
        <f>IF(A402="","",MONTH(A402))</f>
        <v/>
      </c>
    </row>
    <row r="403">
      <c r="A403" s="18" t="n"/>
      <c r="B403" s="15" t="n"/>
      <c r="C403" s="17" t="n"/>
      <c r="D403" s="17" t="n"/>
      <c r="E403" s="7">
        <f>IF(D403="","",D403-C403)</f>
        <v/>
      </c>
      <c r="F403" s="17" t="n"/>
      <c r="G403" s="17" t="n"/>
      <c r="H403" s="15" t="n"/>
      <c r="I403" s="12">
        <f>IF(A403="","",MONTH(A403))</f>
        <v/>
      </c>
    </row>
    <row r="404">
      <c r="A404" s="18" t="n"/>
      <c r="B404" s="15" t="n"/>
      <c r="C404" s="17" t="n"/>
      <c r="D404" s="17" t="n"/>
      <c r="E404" s="7">
        <f>IF(D404="","",D404-C404)</f>
        <v/>
      </c>
      <c r="F404" s="17" t="n"/>
      <c r="G404" s="17" t="n"/>
      <c r="H404" s="15" t="n"/>
      <c r="I404" s="12">
        <f>IF(A404="","",MONTH(A404))</f>
        <v/>
      </c>
    </row>
  </sheetData>
  <conditionalFormatting sqref="E5:E404">
    <cfRule type="expression" priority="1" dxfId="0">
      <formula>AND(E5&lt;&gt;"",ABS(E5)&gt;=Paramètres!$B$6)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13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1" customWidth="1" min="11" max="11"/>
    <col width="10" customWidth="1" min="12" max="12"/>
    <col width="8" customWidth="1" min="13" max="13"/>
    <col width="13" customWidth="1" min="14" max="14"/>
    <col width="14" customWidth="1" min="15" max="15"/>
    <col width="13" customWidth="1" min="16" max="16"/>
    <col width="10" customWidth="1" min="17" max="17"/>
    <col width="14" customWidth="1" min="18" max="18"/>
  </cols>
  <sheetData>
    <row r="1">
      <c r="A1" s="1" t="inlineStr">
        <is>
          <t>La Tendresse de Ketchup — Stocks et marges</t>
        </is>
      </c>
    </row>
    <row r="2">
      <c r="A2" s="2" t="inlineStr">
        <is>
          <t>Une ligne par article. Mettre à jour à chaque inventaire hebdomadaire.</t>
        </is>
      </c>
    </row>
    <row r="4" ht="30" customHeight="1">
      <c r="A4" s="5" t="inlineStr">
        <is>
          <t>Article</t>
        </is>
      </c>
      <c r="B4" s="5" t="inlineStr">
        <is>
          <t>Catégorie</t>
        </is>
      </c>
      <c r="C4" s="5" t="inlineStr">
        <is>
          <t>Unité</t>
        </is>
      </c>
      <c r="D4" s="5" t="inlineStr">
        <is>
          <t>Prix d'achat FCFA</t>
        </is>
      </c>
      <c r="E4" s="5" t="inlineStr">
        <is>
          <t>Prix de vente FCFA</t>
        </is>
      </c>
      <c r="F4" s="5" t="inlineStr">
        <is>
          <t>Stock mini</t>
        </is>
      </c>
      <c r="G4" s="5" t="inlineStr">
        <is>
          <t>Stock initial</t>
        </is>
      </c>
      <c r="H4" s="5" t="inlineStr">
        <is>
          <t>Entrées</t>
        </is>
      </c>
      <c r="I4" s="5" t="inlineStr">
        <is>
          <t>Ventes</t>
        </is>
      </c>
      <c r="J4" s="5" t="inlineStr">
        <is>
          <t>Casses / offerts</t>
        </is>
      </c>
      <c r="K4" s="5" t="inlineStr">
        <is>
          <t>Stock théorique</t>
        </is>
      </c>
      <c r="L4" s="5" t="inlineStr">
        <is>
          <t>Stock compté</t>
        </is>
      </c>
      <c r="M4" s="5" t="inlineStr">
        <is>
          <t>Écart</t>
        </is>
      </c>
      <c r="N4" s="5" t="inlineStr">
        <is>
          <t>Valeur écart FCFA</t>
        </is>
      </c>
      <c r="O4" s="5" t="inlineStr">
        <is>
          <t>Valeur stock FCFA</t>
        </is>
      </c>
      <c r="P4" s="5" t="inlineStr">
        <is>
          <t>Marge / unité FCFA</t>
        </is>
      </c>
      <c r="Q4" s="5" t="inlineStr">
        <is>
          <t>Taux de marge</t>
        </is>
      </c>
      <c r="R4" s="5" t="inlineStr">
        <is>
          <t>Alerte</t>
        </is>
      </c>
    </row>
    <row r="5">
      <c r="A5" s="15" t="inlineStr">
        <is>
          <t>Bière 65 cl (à préciser)</t>
        </is>
      </c>
      <c r="B5" s="15" t="inlineStr">
        <is>
          <t>Bières</t>
        </is>
      </c>
      <c r="C5" s="15" t="inlineStr">
        <is>
          <t>Bouteille</t>
        </is>
      </c>
      <c r="D5" s="17" t="n"/>
      <c r="E5" s="17" t="n"/>
      <c r="F5" s="15" t="n"/>
      <c r="G5" s="15" t="n"/>
      <c r="H5" s="15" t="n"/>
      <c r="I5" s="15" t="n"/>
      <c r="J5" s="15" t="n"/>
      <c r="K5" s="12">
        <f>IF(A5="","",N(G5)+N(H5)-N(I5)-N(J5))</f>
        <v/>
      </c>
      <c r="L5" s="15" t="n"/>
      <c r="M5" s="12">
        <f>IF(L5="","",L5-K5)</f>
        <v/>
      </c>
      <c r="N5" s="7">
        <f>IF(M5="","",M5*N(E5))</f>
        <v/>
      </c>
      <c r="O5" s="7">
        <f>IF(A5="","",IF(L5="",K5,L5)*N(D5))</f>
        <v/>
      </c>
      <c r="P5" s="7">
        <f>IF(OR(D5="",E5=""),"",E5-D5)</f>
        <v/>
      </c>
      <c r="Q5" s="8">
        <f>IF(OR(N(E5)=0,P5=""),"",P5/E5)</f>
        <v/>
      </c>
      <c r="R5" s="12">
        <f>IF(OR(A5="",F5=""),"",IF(IF(L5="",K5,L5)&lt;=F5,"À COMMANDER","OK"))</f>
        <v/>
      </c>
    </row>
    <row r="6">
      <c r="A6" s="15" t="inlineStr">
        <is>
          <t>Bière 50 cl (à préciser)</t>
        </is>
      </c>
      <c r="B6" s="15" t="inlineStr">
        <is>
          <t>Bières</t>
        </is>
      </c>
      <c r="C6" s="15" t="inlineStr">
        <is>
          <t>Bouteille</t>
        </is>
      </c>
      <c r="D6" s="17" t="n"/>
      <c r="E6" s="17" t="n"/>
      <c r="F6" s="15" t="n"/>
      <c r="G6" s="15" t="n"/>
      <c r="H6" s="15" t="n"/>
      <c r="I6" s="15" t="n"/>
      <c r="J6" s="15" t="n"/>
      <c r="K6" s="12">
        <f>IF(A6="","",N(G6)+N(H6)-N(I6)-N(J6))</f>
        <v/>
      </c>
      <c r="L6" s="15" t="n"/>
      <c r="M6" s="12">
        <f>IF(L6="","",L6-K6)</f>
        <v/>
      </c>
      <c r="N6" s="7">
        <f>IF(M6="","",M6*N(E6))</f>
        <v/>
      </c>
      <c r="O6" s="7">
        <f>IF(A6="","",IF(L6="",K6,L6)*N(D6))</f>
        <v/>
      </c>
      <c r="P6" s="7">
        <f>IF(OR(D6="",E6=""),"",E6-D6)</f>
        <v/>
      </c>
      <c r="Q6" s="8">
        <f>IF(OR(N(E6)=0,P6=""),"",P6/E6)</f>
        <v/>
      </c>
      <c r="R6" s="12">
        <f>IF(OR(A6="",F6=""),"",IF(IF(L6="",K6,L6)&lt;=F6,"À COMMANDER","OK"))</f>
        <v/>
      </c>
    </row>
    <row r="7">
      <c r="A7" s="15" t="inlineStr">
        <is>
          <t>Boisson sucrée 33 cl</t>
        </is>
      </c>
      <c r="B7" s="15" t="inlineStr">
        <is>
          <t>Sucreries &amp; eaux</t>
        </is>
      </c>
      <c r="C7" s="15" t="inlineStr">
        <is>
          <t>Bouteille</t>
        </is>
      </c>
      <c r="D7" s="17" t="n"/>
      <c r="E7" s="17" t="n"/>
      <c r="F7" s="15" t="n"/>
      <c r="G7" s="15" t="n"/>
      <c r="H7" s="15" t="n"/>
      <c r="I7" s="15" t="n"/>
      <c r="J7" s="15" t="n"/>
      <c r="K7" s="12">
        <f>IF(A7="","",N(G7)+N(H7)-N(I7)-N(J7))</f>
        <v/>
      </c>
      <c r="L7" s="15" t="n"/>
      <c r="M7" s="12">
        <f>IF(L7="","",L7-K7)</f>
        <v/>
      </c>
      <c r="N7" s="7">
        <f>IF(M7="","",M7*N(E7))</f>
        <v/>
      </c>
      <c r="O7" s="7">
        <f>IF(A7="","",IF(L7="",K7,L7)*N(D7))</f>
        <v/>
      </c>
      <c r="P7" s="7">
        <f>IF(OR(D7="",E7=""),"",E7-D7)</f>
        <v/>
      </c>
      <c r="Q7" s="8">
        <f>IF(OR(N(E7)=0,P7=""),"",P7/E7)</f>
        <v/>
      </c>
      <c r="R7" s="12">
        <f>IF(OR(A7="",F7=""),"",IF(IF(L7="",K7,L7)&lt;=F7,"À COMMANDER","OK"))</f>
        <v/>
      </c>
    </row>
    <row r="8">
      <c r="A8" s="15" t="inlineStr">
        <is>
          <t>Eau minérale 1,5 L</t>
        </is>
      </c>
      <c r="B8" s="15" t="inlineStr">
        <is>
          <t>Sucreries &amp; eaux</t>
        </is>
      </c>
      <c r="C8" s="15" t="inlineStr">
        <is>
          <t>Bouteille</t>
        </is>
      </c>
      <c r="D8" s="17" t="n"/>
      <c r="E8" s="17" t="n"/>
      <c r="F8" s="15" t="n"/>
      <c r="G8" s="15" t="n"/>
      <c r="H8" s="15" t="n"/>
      <c r="I8" s="15" t="n"/>
      <c r="J8" s="15" t="n"/>
      <c r="K8" s="12">
        <f>IF(A8="","",N(G8)+N(H8)-N(I8)-N(J8))</f>
        <v/>
      </c>
      <c r="L8" s="15" t="n"/>
      <c r="M8" s="12">
        <f>IF(L8="","",L8-K8)</f>
        <v/>
      </c>
      <c r="N8" s="7">
        <f>IF(M8="","",M8*N(E8))</f>
        <v/>
      </c>
      <c r="O8" s="7">
        <f>IF(A8="","",IF(L8="",K8,L8)*N(D8))</f>
        <v/>
      </c>
      <c r="P8" s="7">
        <f>IF(OR(D8="",E8=""),"",E8-D8)</f>
        <v/>
      </c>
      <c r="Q8" s="8">
        <f>IF(OR(N(E8)=0,P8=""),"",P8/E8)</f>
        <v/>
      </c>
      <c r="R8" s="12">
        <f>IF(OR(A8="",F8=""),"",IF(IF(L8="",K8,L8)&lt;=F8,"À COMMANDER","OK"))</f>
        <v/>
      </c>
    </row>
    <row r="9">
      <c r="A9" s="15" t="inlineStr">
        <is>
          <t>Vin rouge 75 cl</t>
        </is>
      </c>
      <c r="B9" s="15" t="inlineStr">
        <is>
          <t>Vins &amp; spiritueux</t>
        </is>
      </c>
      <c r="C9" s="15" t="inlineStr">
        <is>
          <t>Bouteille</t>
        </is>
      </c>
      <c r="D9" s="17" t="n"/>
      <c r="E9" s="17" t="n"/>
      <c r="F9" s="15" t="n"/>
      <c r="G9" s="15" t="n"/>
      <c r="H9" s="15" t="n"/>
      <c r="I9" s="15" t="n"/>
      <c r="J9" s="15" t="n"/>
      <c r="K9" s="12">
        <f>IF(A9="","",N(G9)+N(H9)-N(I9)-N(J9))</f>
        <v/>
      </c>
      <c r="L9" s="15" t="n"/>
      <c r="M9" s="12">
        <f>IF(L9="","",L9-K9)</f>
        <v/>
      </c>
      <c r="N9" s="7">
        <f>IF(M9="","",M9*N(E9))</f>
        <v/>
      </c>
      <c r="O9" s="7">
        <f>IF(A9="","",IF(L9="",K9,L9)*N(D9))</f>
        <v/>
      </c>
      <c r="P9" s="7">
        <f>IF(OR(D9="",E9=""),"",E9-D9)</f>
        <v/>
      </c>
      <c r="Q9" s="8">
        <f>IF(OR(N(E9)=0,P9=""),"",P9/E9)</f>
        <v/>
      </c>
      <c r="R9" s="12">
        <f>IF(OR(A9="",F9=""),"",IF(IF(L9="",K9,L9)&lt;=F9,"À COMMANDER","OK"))</f>
        <v/>
      </c>
    </row>
    <row r="10">
      <c r="A10" s="15" t="inlineStr">
        <is>
          <t>Whisky 70 cl</t>
        </is>
      </c>
      <c r="B10" s="15" t="inlineStr">
        <is>
          <t>Vins &amp; spiritueux</t>
        </is>
      </c>
      <c r="C10" s="15" t="inlineStr">
        <is>
          <t>Bouteille</t>
        </is>
      </c>
      <c r="D10" s="17" t="n"/>
      <c r="E10" s="17" t="n"/>
      <c r="F10" s="15" t="n"/>
      <c r="G10" s="15" t="n"/>
      <c r="H10" s="15" t="n"/>
      <c r="I10" s="15" t="n"/>
      <c r="J10" s="15" t="n"/>
      <c r="K10" s="12">
        <f>IF(A10="","",N(G10)+N(H10)-N(I10)-N(J10))</f>
        <v/>
      </c>
      <c r="L10" s="15" t="n"/>
      <c r="M10" s="12">
        <f>IF(L10="","",L10-K10)</f>
        <v/>
      </c>
      <c r="N10" s="7">
        <f>IF(M10="","",M10*N(E10))</f>
        <v/>
      </c>
      <c r="O10" s="7">
        <f>IF(A10="","",IF(L10="",K10,L10)*N(D10))</f>
        <v/>
      </c>
      <c r="P10" s="7">
        <f>IF(OR(D10="",E10=""),"",E10-D10)</f>
        <v/>
      </c>
      <c r="Q10" s="8">
        <f>IF(OR(N(E10)=0,P10=""),"",P10/E10)</f>
        <v/>
      </c>
      <c r="R10" s="12">
        <f>IF(OR(A10="",F10=""),"",IF(IF(L10="",K10,L10)&lt;=F10,"À COMMANDER","OK"))</f>
        <v/>
      </c>
    </row>
    <row r="11">
      <c r="A11" s="15" t="n"/>
      <c r="B11" s="15" t="n"/>
      <c r="C11" s="15" t="n"/>
      <c r="D11" s="17" t="n"/>
      <c r="E11" s="17" t="n"/>
      <c r="F11" s="15" t="n"/>
      <c r="G11" s="15" t="n"/>
      <c r="H11" s="15" t="n"/>
      <c r="I11" s="15" t="n"/>
      <c r="J11" s="15" t="n"/>
      <c r="K11" s="12">
        <f>IF(A11="","",N(G11)+N(H11)-N(I11)-N(J11))</f>
        <v/>
      </c>
      <c r="L11" s="15" t="n"/>
      <c r="M11" s="12">
        <f>IF(L11="","",L11-K11)</f>
        <v/>
      </c>
      <c r="N11" s="7">
        <f>IF(M11="","",M11*N(E11))</f>
        <v/>
      </c>
      <c r="O11" s="7">
        <f>IF(A11="","",IF(L11="",K11,L11)*N(D11))</f>
        <v/>
      </c>
      <c r="P11" s="7">
        <f>IF(OR(D11="",E11=""),"",E11-D11)</f>
        <v/>
      </c>
      <c r="Q11" s="8">
        <f>IF(OR(N(E11)=0,P11=""),"",P11/E11)</f>
        <v/>
      </c>
      <c r="R11" s="12">
        <f>IF(OR(A11="",F11=""),"",IF(IF(L11="",K11,L11)&lt;=F11,"À COMMANDER","OK"))</f>
        <v/>
      </c>
    </row>
    <row r="12">
      <c r="A12" s="15" t="n"/>
      <c r="B12" s="15" t="n"/>
      <c r="C12" s="15" t="n"/>
      <c r="D12" s="17" t="n"/>
      <c r="E12" s="17" t="n"/>
      <c r="F12" s="15" t="n"/>
      <c r="G12" s="15" t="n"/>
      <c r="H12" s="15" t="n"/>
      <c r="I12" s="15" t="n"/>
      <c r="J12" s="15" t="n"/>
      <c r="K12" s="12">
        <f>IF(A12="","",N(G12)+N(H12)-N(I12)-N(J12))</f>
        <v/>
      </c>
      <c r="L12" s="15" t="n"/>
      <c r="M12" s="12">
        <f>IF(L12="","",L12-K12)</f>
        <v/>
      </c>
      <c r="N12" s="7">
        <f>IF(M12="","",M12*N(E12))</f>
        <v/>
      </c>
      <c r="O12" s="7">
        <f>IF(A12="","",IF(L12="",K12,L12)*N(D12))</f>
        <v/>
      </c>
      <c r="P12" s="7">
        <f>IF(OR(D12="",E12=""),"",E12-D12)</f>
        <v/>
      </c>
      <c r="Q12" s="8">
        <f>IF(OR(N(E12)=0,P12=""),"",P12/E12)</f>
        <v/>
      </c>
      <c r="R12" s="12">
        <f>IF(OR(A12="",F12=""),"",IF(IF(L12="",K12,L12)&lt;=F12,"À COMMANDER","OK"))</f>
        <v/>
      </c>
    </row>
    <row r="13">
      <c r="A13" s="15" t="n"/>
      <c r="B13" s="15" t="n"/>
      <c r="C13" s="15" t="n"/>
      <c r="D13" s="17" t="n"/>
      <c r="E13" s="17" t="n"/>
      <c r="F13" s="15" t="n"/>
      <c r="G13" s="15" t="n"/>
      <c r="H13" s="15" t="n"/>
      <c r="I13" s="15" t="n"/>
      <c r="J13" s="15" t="n"/>
      <c r="K13" s="12">
        <f>IF(A13="","",N(G13)+N(H13)-N(I13)-N(J13))</f>
        <v/>
      </c>
      <c r="L13" s="15" t="n"/>
      <c r="M13" s="12">
        <f>IF(L13="","",L13-K13)</f>
        <v/>
      </c>
      <c r="N13" s="7">
        <f>IF(M13="","",M13*N(E13))</f>
        <v/>
      </c>
      <c r="O13" s="7">
        <f>IF(A13="","",IF(L13="",K13,L13)*N(D13))</f>
        <v/>
      </c>
      <c r="P13" s="7">
        <f>IF(OR(D13="",E13=""),"",E13-D13)</f>
        <v/>
      </c>
      <c r="Q13" s="8">
        <f>IF(OR(N(E13)=0,P13=""),"",P13/E13)</f>
        <v/>
      </c>
      <c r="R13" s="12">
        <f>IF(OR(A13="",F13=""),"",IF(IF(L13="",K13,L13)&lt;=F13,"À COMMANDER","OK"))</f>
        <v/>
      </c>
    </row>
    <row r="14">
      <c r="A14" s="15" t="n"/>
      <c r="B14" s="15" t="n"/>
      <c r="C14" s="15" t="n"/>
      <c r="D14" s="17" t="n"/>
      <c r="E14" s="17" t="n"/>
      <c r="F14" s="15" t="n"/>
      <c r="G14" s="15" t="n"/>
      <c r="H14" s="15" t="n"/>
      <c r="I14" s="15" t="n"/>
      <c r="J14" s="15" t="n"/>
      <c r="K14" s="12">
        <f>IF(A14="","",N(G14)+N(H14)-N(I14)-N(J14))</f>
        <v/>
      </c>
      <c r="L14" s="15" t="n"/>
      <c r="M14" s="12">
        <f>IF(L14="","",L14-K14)</f>
        <v/>
      </c>
      <c r="N14" s="7">
        <f>IF(M14="","",M14*N(E14))</f>
        <v/>
      </c>
      <c r="O14" s="7">
        <f>IF(A14="","",IF(L14="",K14,L14)*N(D14))</f>
        <v/>
      </c>
      <c r="P14" s="7">
        <f>IF(OR(D14="",E14=""),"",E14-D14)</f>
        <v/>
      </c>
      <c r="Q14" s="8">
        <f>IF(OR(N(E14)=0,P14=""),"",P14/E14)</f>
        <v/>
      </c>
      <c r="R14" s="12">
        <f>IF(OR(A14="",F14=""),"",IF(IF(L14="",K14,L14)&lt;=F14,"À COMMANDER","OK"))</f>
        <v/>
      </c>
    </row>
    <row r="15">
      <c r="A15" s="15" t="n"/>
      <c r="B15" s="15" t="n"/>
      <c r="C15" s="15" t="n"/>
      <c r="D15" s="17" t="n"/>
      <c r="E15" s="17" t="n"/>
      <c r="F15" s="15" t="n"/>
      <c r="G15" s="15" t="n"/>
      <c r="H15" s="15" t="n"/>
      <c r="I15" s="15" t="n"/>
      <c r="J15" s="15" t="n"/>
      <c r="K15" s="12">
        <f>IF(A15="","",N(G15)+N(H15)-N(I15)-N(J15))</f>
        <v/>
      </c>
      <c r="L15" s="15" t="n"/>
      <c r="M15" s="12">
        <f>IF(L15="","",L15-K15)</f>
        <v/>
      </c>
      <c r="N15" s="7">
        <f>IF(M15="","",M15*N(E15))</f>
        <v/>
      </c>
      <c r="O15" s="7">
        <f>IF(A15="","",IF(L15="",K15,L15)*N(D15))</f>
        <v/>
      </c>
      <c r="P15" s="7">
        <f>IF(OR(D15="",E15=""),"",E15-D15)</f>
        <v/>
      </c>
      <c r="Q15" s="8">
        <f>IF(OR(N(E15)=0,P15=""),"",P15/E15)</f>
        <v/>
      </c>
      <c r="R15" s="12">
        <f>IF(OR(A15="",F15=""),"",IF(IF(L15="",K15,L15)&lt;=F15,"À COMMANDER","OK"))</f>
        <v/>
      </c>
    </row>
    <row r="16">
      <c r="A16" s="15" t="n"/>
      <c r="B16" s="15" t="n"/>
      <c r="C16" s="15" t="n"/>
      <c r="D16" s="17" t="n"/>
      <c r="E16" s="17" t="n"/>
      <c r="F16" s="15" t="n"/>
      <c r="G16" s="15" t="n"/>
      <c r="H16" s="15" t="n"/>
      <c r="I16" s="15" t="n"/>
      <c r="J16" s="15" t="n"/>
      <c r="K16" s="12">
        <f>IF(A16="","",N(G16)+N(H16)-N(I16)-N(J16))</f>
        <v/>
      </c>
      <c r="L16" s="15" t="n"/>
      <c r="M16" s="12">
        <f>IF(L16="","",L16-K16)</f>
        <v/>
      </c>
      <c r="N16" s="7">
        <f>IF(M16="","",M16*N(E16))</f>
        <v/>
      </c>
      <c r="O16" s="7">
        <f>IF(A16="","",IF(L16="",K16,L16)*N(D16))</f>
        <v/>
      </c>
      <c r="P16" s="7">
        <f>IF(OR(D16="",E16=""),"",E16-D16)</f>
        <v/>
      </c>
      <c r="Q16" s="8">
        <f>IF(OR(N(E16)=0,P16=""),"",P16/E16)</f>
        <v/>
      </c>
      <c r="R16" s="12">
        <f>IF(OR(A16="",F16=""),"",IF(IF(L16="",K16,L16)&lt;=F16,"À COMMANDER","OK"))</f>
        <v/>
      </c>
    </row>
    <row r="17">
      <c r="A17" s="15" t="n"/>
      <c r="B17" s="15" t="n"/>
      <c r="C17" s="15" t="n"/>
      <c r="D17" s="17" t="n"/>
      <c r="E17" s="17" t="n"/>
      <c r="F17" s="15" t="n"/>
      <c r="G17" s="15" t="n"/>
      <c r="H17" s="15" t="n"/>
      <c r="I17" s="15" t="n"/>
      <c r="J17" s="15" t="n"/>
      <c r="K17" s="12">
        <f>IF(A17="","",N(G17)+N(H17)-N(I17)-N(J17))</f>
        <v/>
      </c>
      <c r="L17" s="15" t="n"/>
      <c r="M17" s="12">
        <f>IF(L17="","",L17-K17)</f>
        <v/>
      </c>
      <c r="N17" s="7">
        <f>IF(M17="","",M17*N(E17))</f>
        <v/>
      </c>
      <c r="O17" s="7">
        <f>IF(A17="","",IF(L17="",K17,L17)*N(D17))</f>
        <v/>
      </c>
      <c r="P17" s="7">
        <f>IF(OR(D17="",E17=""),"",E17-D17)</f>
        <v/>
      </c>
      <c r="Q17" s="8">
        <f>IF(OR(N(E17)=0,P17=""),"",P17/E17)</f>
        <v/>
      </c>
      <c r="R17" s="12">
        <f>IF(OR(A17="",F17=""),"",IF(IF(L17="",K17,L17)&lt;=F17,"À COMMANDER","OK"))</f>
        <v/>
      </c>
    </row>
    <row r="18">
      <c r="A18" s="15" t="n"/>
      <c r="B18" s="15" t="n"/>
      <c r="C18" s="15" t="n"/>
      <c r="D18" s="17" t="n"/>
      <c r="E18" s="17" t="n"/>
      <c r="F18" s="15" t="n"/>
      <c r="G18" s="15" t="n"/>
      <c r="H18" s="15" t="n"/>
      <c r="I18" s="15" t="n"/>
      <c r="J18" s="15" t="n"/>
      <c r="K18" s="12">
        <f>IF(A18="","",N(G18)+N(H18)-N(I18)-N(J18))</f>
        <v/>
      </c>
      <c r="L18" s="15" t="n"/>
      <c r="M18" s="12">
        <f>IF(L18="","",L18-K18)</f>
        <v/>
      </c>
      <c r="N18" s="7">
        <f>IF(M18="","",M18*N(E18))</f>
        <v/>
      </c>
      <c r="O18" s="7">
        <f>IF(A18="","",IF(L18="",K18,L18)*N(D18))</f>
        <v/>
      </c>
      <c r="P18" s="7">
        <f>IF(OR(D18="",E18=""),"",E18-D18)</f>
        <v/>
      </c>
      <c r="Q18" s="8">
        <f>IF(OR(N(E18)=0,P18=""),"",P18/E18)</f>
        <v/>
      </c>
      <c r="R18" s="12">
        <f>IF(OR(A18="",F18=""),"",IF(IF(L18="",K18,L18)&lt;=F18,"À COMMANDER","OK"))</f>
        <v/>
      </c>
    </row>
    <row r="19">
      <c r="A19" s="15" t="n"/>
      <c r="B19" s="15" t="n"/>
      <c r="C19" s="15" t="n"/>
      <c r="D19" s="17" t="n"/>
      <c r="E19" s="17" t="n"/>
      <c r="F19" s="15" t="n"/>
      <c r="G19" s="15" t="n"/>
      <c r="H19" s="15" t="n"/>
      <c r="I19" s="15" t="n"/>
      <c r="J19" s="15" t="n"/>
      <c r="K19" s="12">
        <f>IF(A19="","",N(G19)+N(H19)-N(I19)-N(J19))</f>
        <v/>
      </c>
      <c r="L19" s="15" t="n"/>
      <c r="M19" s="12">
        <f>IF(L19="","",L19-K19)</f>
        <v/>
      </c>
      <c r="N19" s="7">
        <f>IF(M19="","",M19*N(E19))</f>
        <v/>
      </c>
      <c r="O19" s="7">
        <f>IF(A19="","",IF(L19="",K19,L19)*N(D19))</f>
        <v/>
      </c>
      <c r="P19" s="7">
        <f>IF(OR(D19="",E19=""),"",E19-D19)</f>
        <v/>
      </c>
      <c r="Q19" s="8">
        <f>IF(OR(N(E19)=0,P19=""),"",P19/E19)</f>
        <v/>
      </c>
      <c r="R19" s="12">
        <f>IF(OR(A19="",F19=""),"",IF(IF(L19="",K19,L19)&lt;=F19,"À COMMANDER","OK"))</f>
        <v/>
      </c>
    </row>
    <row r="20">
      <c r="A20" s="15" t="n"/>
      <c r="B20" s="15" t="n"/>
      <c r="C20" s="15" t="n"/>
      <c r="D20" s="17" t="n"/>
      <c r="E20" s="17" t="n"/>
      <c r="F20" s="15" t="n"/>
      <c r="G20" s="15" t="n"/>
      <c r="H20" s="15" t="n"/>
      <c r="I20" s="15" t="n"/>
      <c r="J20" s="15" t="n"/>
      <c r="K20" s="12">
        <f>IF(A20="","",N(G20)+N(H20)-N(I20)-N(J20))</f>
        <v/>
      </c>
      <c r="L20" s="15" t="n"/>
      <c r="M20" s="12">
        <f>IF(L20="","",L20-K20)</f>
        <v/>
      </c>
      <c r="N20" s="7">
        <f>IF(M20="","",M20*N(E20))</f>
        <v/>
      </c>
      <c r="O20" s="7">
        <f>IF(A20="","",IF(L20="",K20,L20)*N(D20))</f>
        <v/>
      </c>
      <c r="P20" s="7">
        <f>IF(OR(D20="",E20=""),"",E20-D20)</f>
        <v/>
      </c>
      <c r="Q20" s="8">
        <f>IF(OR(N(E20)=0,P20=""),"",P20/E20)</f>
        <v/>
      </c>
      <c r="R20" s="12">
        <f>IF(OR(A20="",F20=""),"",IF(IF(L20="",K20,L20)&lt;=F20,"À COMMANDER","OK"))</f>
        <v/>
      </c>
    </row>
    <row r="21">
      <c r="A21" s="15" t="n"/>
      <c r="B21" s="15" t="n"/>
      <c r="C21" s="15" t="n"/>
      <c r="D21" s="17" t="n"/>
      <c r="E21" s="17" t="n"/>
      <c r="F21" s="15" t="n"/>
      <c r="G21" s="15" t="n"/>
      <c r="H21" s="15" t="n"/>
      <c r="I21" s="15" t="n"/>
      <c r="J21" s="15" t="n"/>
      <c r="K21" s="12">
        <f>IF(A21="","",N(G21)+N(H21)-N(I21)-N(J21))</f>
        <v/>
      </c>
      <c r="L21" s="15" t="n"/>
      <c r="M21" s="12">
        <f>IF(L21="","",L21-K21)</f>
        <v/>
      </c>
      <c r="N21" s="7">
        <f>IF(M21="","",M21*N(E21))</f>
        <v/>
      </c>
      <c r="O21" s="7">
        <f>IF(A21="","",IF(L21="",K21,L21)*N(D21))</f>
        <v/>
      </c>
      <c r="P21" s="7">
        <f>IF(OR(D21="",E21=""),"",E21-D21)</f>
        <v/>
      </c>
      <c r="Q21" s="8">
        <f>IF(OR(N(E21)=0,P21=""),"",P21/E21)</f>
        <v/>
      </c>
      <c r="R21" s="12">
        <f>IF(OR(A21="",F21=""),"",IF(IF(L21="",K21,L21)&lt;=F21,"À COMMANDER","OK"))</f>
        <v/>
      </c>
    </row>
    <row r="22">
      <c r="A22" s="15" t="n"/>
      <c r="B22" s="15" t="n"/>
      <c r="C22" s="15" t="n"/>
      <c r="D22" s="17" t="n"/>
      <c r="E22" s="17" t="n"/>
      <c r="F22" s="15" t="n"/>
      <c r="G22" s="15" t="n"/>
      <c r="H22" s="15" t="n"/>
      <c r="I22" s="15" t="n"/>
      <c r="J22" s="15" t="n"/>
      <c r="K22" s="12">
        <f>IF(A22="","",N(G22)+N(H22)-N(I22)-N(J22))</f>
        <v/>
      </c>
      <c r="L22" s="15" t="n"/>
      <c r="M22" s="12">
        <f>IF(L22="","",L22-K22)</f>
        <v/>
      </c>
      <c r="N22" s="7">
        <f>IF(M22="","",M22*N(E22))</f>
        <v/>
      </c>
      <c r="O22" s="7">
        <f>IF(A22="","",IF(L22="",K22,L22)*N(D22))</f>
        <v/>
      </c>
      <c r="P22" s="7">
        <f>IF(OR(D22="",E22=""),"",E22-D22)</f>
        <v/>
      </c>
      <c r="Q22" s="8">
        <f>IF(OR(N(E22)=0,P22=""),"",P22/E22)</f>
        <v/>
      </c>
      <c r="R22" s="12">
        <f>IF(OR(A22="",F22=""),"",IF(IF(L22="",K22,L22)&lt;=F22,"À COMMANDER","OK"))</f>
        <v/>
      </c>
    </row>
    <row r="23">
      <c r="A23" s="15" t="n"/>
      <c r="B23" s="15" t="n"/>
      <c r="C23" s="15" t="n"/>
      <c r="D23" s="17" t="n"/>
      <c r="E23" s="17" t="n"/>
      <c r="F23" s="15" t="n"/>
      <c r="G23" s="15" t="n"/>
      <c r="H23" s="15" t="n"/>
      <c r="I23" s="15" t="n"/>
      <c r="J23" s="15" t="n"/>
      <c r="K23" s="12">
        <f>IF(A23="","",N(G23)+N(H23)-N(I23)-N(J23))</f>
        <v/>
      </c>
      <c r="L23" s="15" t="n"/>
      <c r="M23" s="12">
        <f>IF(L23="","",L23-K23)</f>
        <v/>
      </c>
      <c r="N23" s="7">
        <f>IF(M23="","",M23*N(E23))</f>
        <v/>
      </c>
      <c r="O23" s="7">
        <f>IF(A23="","",IF(L23="",K23,L23)*N(D23))</f>
        <v/>
      </c>
      <c r="P23" s="7">
        <f>IF(OR(D23="",E23=""),"",E23-D23)</f>
        <v/>
      </c>
      <c r="Q23" s="8">
        <f>IF(OR(N(E23)=0,P23=""),"",P23/E23)</f>
        <v/>
      </c>
      <c r="R23" s="12">
        <f>IF(OR(A23="",F23=""),"",IF(IF(L23="",K23,L23)&lt;=F23,"À COMMANDER","OK"))</f>
        <v/>
      </c>
    </row>
    <row r="24">
      <c r="A24" s="15" t="n"/>
      <c r="B24" s="15" t="n"/>
      <c r="C24" s="15" t="n"/>
      <c r="D24" s="17" t="n"/>
      <c r="E24" s="17" t="n"/>
      <c r="F24" s="15" t="n"/>
      <c r="G24" s="15" t="n"/>
      <c r="H24" s="15" t="n"/>
      <c r="I24" s="15" t="n"/>
      <c r="J24" s="15" t="n"/>
      <c r="K24" s="12">
        <f>IF(A24="","",N(G24)+N(H24)-N(I24)-N(J24))</f>
        <v/>
      </c>
      <c r="L24" s="15" t="n"/>
      <c r="M24" s="12">
        <f>IF(L24="","",L24-K24)</f>
        <v/>
      </c>
      <c r="N24" s="7">
        <f>IF(M24="","",M24*N(E24))</f>
        <v/>
      </c>
      <c r="O24" s="7">
        <f>IF(A24="","",IF(L24="",K24,L24)*N(D24))</f>
        <v/>
      </c>
      <c r="P24" s="7">
        <f>IF(OR(D24="",E24=""),"",E24-D24)</f>
        <v/>
      </c>
      <c r="Q24" s="8">
        <f>IF(OR(N(E24)=0,P24=""),"",P24/E24)</f>
        <v/>
      </c>
      <c r="R24" s="12">
        <f>IF(OR(A24="",F24=""),"",IF(IF(L24="",K24,L24)&lt;=F24,"À COMMANDER","OK"))</f>
        <v/>
      </c>
    </row>
    <row r="25">
      <c r="A25" s="15" t="n"/>
      <c r="B25" s="15" t="n"/>
      <c r="C25" s="15" t="n"/>
      <c r="D25" s="17" t="n"/>
      <c r="E25" s="17" t="n"/>
      <c r="F25" s="15" t="n"/>
      <c r="G25" s="15" t="n"/>
      <c r="H25" s="15" t="n"/>
      <c r="I25" s="15" t="n"/>
      <c r="J25" s="15" t="n"/>
      <c r="K25" s="12">
        <f>IF(A25="","",N(G25)+N(H25)-N(I25)-N(J25))</f>
        <v/>
      </c>
      <c r="L25" s="15" t="n"/>
      <c r="M25" s="12">
        <f>IF(L25="","",L25-K25)</f>
        <v/>
      </c>
      <c r="N25" s="7">
        <f>IF(M25="","",M25*N(E25))</f>
        <v/>
      </c>
      <c r="O25" s="7">
        <f>IF(A25="","",IF(L25="",K25,L25)*N(D25))</f>
        <v/>
      </c>
      <c r="P25" s="7">
        <f>IF(OR(D25="",E25=""),"",E25-D25)</f>
        <v/>
      </c>
      <c r="Q25" s="8">
        <f>IF(OR(N(E25)=0,P25=""),"",P25/E25)</f>
        <v/>
      </c>
      <c r="R25" s="12">
        <f>IF(OR(A25="",F25=""),"",IF(IF(L25="",K25,L25)&lt;=F25,"À COMMANDER","OK"))</f>
        <v/>
      </c>
    </row>
    <row r="26">
      <c r="A26" s="15" t="n"/>
      <c r="B26" s="15" t="n"/>
      <c r="C26" s="15" t="n"/>
      <c r="D26" s="17" t="n"/>
      <c r="E26" s="17" t="n"/>
      <c r="F26" s="15" t="n"/>
      <c r="G26" s="15" t="n"/>
      <c r="H26" s="15" t="n"/>
      <c r="I26" s="15" t="n"/>
      <c r="J26" s="15" t="n"/>
      <c r="K26" s="12">
        <f>IF(A26="","",N(G26)+N(H26)-N(I26)-N(J26))</f>
        <v/>
      </c>
      <c r="L26" s="15" t="n"/>
      <c r="M26" s="12">
        <f>IF(L26="","",L26-K26)</f>
        <v/>
      </c>
      <c r="N26" s="7">
        <f>IF(M26="","",M26*N(E26))</f>
        <v/>
      </c>
      <c r="O26" s="7">
        <f>IF(A26="","",IF(L26="",K26,L26)*N(D26))</f>
        <v/>
      </c>
      <c r="P26" s="7">
        <f>IF(OR(D26="",E26=""),"",E26-D26)</f>
        <v/>
      </c>
      <c r="Q26" s="8">
        <f>IF(OR(N(E26)=0,P26=""),"",P26/E26)</f>
        <v/>
      </c>
      <c r="R26" s="12">
        <f>IF(OR(A26="",F26=""),"",IF(IF(L26="",K26,L26)&lt;=F26,"À COMMANDER","OK"))</f>
        <v/>
      </c>
    </row>
    <row r="27">
      <c r="A27" s="15" t="n"/>
      <c r="B27" s="15" t="n"/>
      <c r="C27" s="15" t="n"/>
      <c r="D27" s="17" t="n"/>
      <c r="E27" s="17" t="n"/>
      <c r="F27" s="15" t="n"/>
      <c r="G27" s="15" t="n"/>
      <c r="H27" s="15" t="n"/>
      <c r="I27" s="15" t="n"/>
      <c r="J27" s="15" t="n"/>
      <c r="K27" s="12">
        <f>IF(A27="","",N(G27)+N(H27)-N(I27)-N(J27))</f>
        <v/>
      </c>
      <c r="L27" s="15" t="n"/>
      <c r="M27" s="12">
        <f>IF(L27="","",L27-K27)</f>
        <v/>
      </c>
      <c r="N27" s="7">
        <f>IF(M27="","",M27*N(E27))</f>
        <v/>
      </c>
      <c r="O27" s="7">
        <f>IF(A27="","",IF(L27="",K27,L27)*N(D27))</f>
        <v/>
      </c>
      <c r="P27" s="7">
        <f>IF(OR(D27="",E27=""),"",E27-D27)</f>
        <v/>
      </c>
      <c r="Q27" s="8">
        <f>IF(OR(N(E27)=0,P27=""),"",P27/E27)</f>
        <v/>
      </c>
      <c r="R27" s="12">
        <f>IF(OR(A27="",F27=""),"",IF(IF(L27="",K27,L27)&lt;=F27,"À COMMANDER","OK"))</f>
        <v/>
      </c>
    </row>
    <row r="28">
      <c r="A28" s="15" t="n"/>
      <c r="B28" s="15" t="n"/>
      <c r="C28" s="15" t="n"/>
      <c r="D28" s="17" t="n"/>
      <c r="E28" s="17" t="n"/>
      <c r="F28" s="15" t="n"/>
      <c r="G28" s="15" t="n"/>
      <c r="H28" s="15" t="n"/>
      <c r="I28" s="15" t="n"/>
      <c r="J28" s="15" t="n"/>
      <c r="K28" s="12">
        <f>IF(A28="","",N(G28)+N(H28)-N(I28)-N(J28))</f>
        <v/>
      </c>
      <c r="L28" s="15" t="n"/>
      <c r="M28" s="12">
        <f>IF(L28="","",L28-K28)</f>
        <v/>
      </c>
      <c r="N28" s="7">
        <f>IF(M28="","",M28*N(E28))</f>
        <v/>
      </c>
      <c r="O28" s="7">
        <f>IF(A28="","",IF(L28="",K28,L28)*N(D28))</f>
        <v/>
      </c>
      <c r="P28" s="7">
        <f>IF(OR(D28="",E28=""),"",E28-D28)</f>
        <v/>
      </c>
      <c r="Q28" s="8">
        <f>IF(OR(N(E28)=0,P28=""),"",P28/E28)</f>
        <v/>
      </c>
      <c r="R28" s="12">
        <f>IF(OR(A28="",F28=""),"",IF(IF(L28="",K28,L28)&lt;=F28,"À COMMANDER","OK"))</f>
        <v/>
      </c>
    </row>
    <row r="29">
      <c r="A29" s="15" t="n"/>
      <c r="B29" s="15" t="n"/>
      <c r="C29" s="15" t="n"/>
      <c r="D29" s="17" t="n"/>
      <c r="E29" s="17" t="n"/>
      <c r="F29" s="15" t="n"/>
      <c r="G29" s="15" t="n"/>
      <c r="H29" s="15" t="n"/>
      <c r="I29" s="15" t="n"/>
      <c r="J29" s="15" t="n"/>
      <c r="K29" s="12">
        <f>IF(A29="","",N(G29)+N(H29)-N(I29)-N(J29))</f>
        <v/>
      </c>
      <c r="L29" s="15" t="n"/>
      <c r="M29" s="12">
        <f>IF(L29="","",L29-K29)</f>
        <v/>
      </c>
      <c r="N29" s="7">
        <f>IF(M29="","",M29*N(E29))</f>
        <v/>
      </c>
      <c r="O29" s="7">
        <f>IF(A29="","",IF(L29="",K29,L29)*N(D29))</f>
        <v/>
      </c>
      <c r="P29" s="7">
        <f>IF(OR(D29="",E29=""),"",E29-D29)</f>
        <v/>
      </c>
      <c r="Q29" s="8">
        <f>IF(OR(N(E29)=0,P29=""),"",P29/E29)</f>
        <v/>
      </c>
      <c r="R29" s="12">
        <f>IF(OR(A29="",F29=""),"",IF(IF(L29="",K29,L29)&lt;=F29,"À COMMANDER","OK"))</f>
        <v/>
      </c>
    </row>
    <row r="30">
      <c r="A30" s="15" t="n"/>
      <c r="B30" s="15" t="n"/>
      <c r="C30" s="15" t="n"/>
      <c r="D30" s="17" t="n"/>
      <c r="E30" s="17" t="n"/>
      <c r="F30" s="15" t="n"/>
      <c r="G30" s="15" t="n"/>
      <c r="H30" s="15" t="n"/>
      <c r="I30" s="15" t="n"/>
      <c r="J30" s="15" t="n"/>
      <c r="K30" s="12">
        <f>IF(A30="","",N(G30)+N(H30)-N(I30)-N(J30))</f>
        <v/>
      </c>
      <c r="L30" s="15" t="n"/>
      <c r="M30" s="12">
        <f>IF(L30="","",L30-K30)</f>
        <v/>
      </c>
      <c r="N30" s="7">
        <f>IF(M30="","",M30*N(E30))</f>
        <v/>
      </c>
      <c r="O30" s="7">
        <f>IF(A30="","",IF(L30="",K30,L30)*N(D30))</f>
        <v/>
      </c>
      <c r="P30" s="7">
        <f>IF(OR(D30="",E30=""),"",E30-D30)</f>
        <v/>
      </c>
      <c r="Q30" s="8">
        <f>IF(OR(N(E30)=0,P30=""),"",P30/E30)</f>
        <v/>
      </c>
      <c r="R30" s="12">
        <f>IF(OR(A30="",F30=""),"",IF(IF(L30="",K30,L30)&lt;=F30,"À COMMANDER","OK"))</f>
        <v/>
      </c>
    </row>
    <row r="31">
      <c r="A31" s="15" t="n"/>
      <c r="B31" s="15" t="n"/>
      <c r="C31" s="15" t="n"/>
      <c r="D31" s="17" t="n"/>
      <c r="E31" s="17" t="n"/>
      <c r="F31" s="15" t="n"/>
      <c r="G31" s="15" t="n"/>
      <c r="H31" s="15" t="n"/>
      <c r="I31" s="15" t="n"/>
      <c r="J31" s="15" t="n"/>
      <c r="K31" s="12">
        <f>IF(A31="","",N(G31)+N(H31)-N(I31)-N(J31))</f>
        <v/>
      </c>
      <c r="L31" s="15" t="n"/>
      <c r="M31" s="12">
        <f>IF(L31="","",L31-K31)</f>
        <v/>
      </c>
      <c r="N31" s="7">
        <f>IF(M31="","",M31*N(E31))</f>
        <v/>
      </c>
      <c r="O31" s="7">
        <f>IF(A31="","",IF(L31="",K31,L31)*N(D31))</f>
        <v/>
      </c>
      <c r="P31" s="7">
        <f>IF(OR(D31="",E31=""),"",E31-D31)</f>
        <v/>
      </c>
      <c r="Q31" s="8">
        <f>IF(OR(N(E31)=0,P31=""),"",P31/E31)</f>
        <v/>
      </c>
      <c r="R31" s="12">
        <f>IF(OR(A31="",F31=""),"",IF(IF(L31="",K31,L31)&lt;=F31,"À COMMANDER","OK"))</f>
        <v/>
      </c>
    </row>
    <row r="32">
      <c r="A32" s="15" t="n"/>
      <c r="B32" s="15" t="n"/>
      <c r="C32" s="15" t="n"/>
      <c r="D32" s="17" t="n"/>
      <c r="E32" s="17" t="n"/>
      <c r="F32" s="15" t="n"/>
      <c r="G32" s="15" t="n"/>
      <c r="H32" s="15" t="n"/>
      <c r="I32" s="15" t="n"/>
      <c r="J32" s="15" t="n"/>
      <c r="K32" s="12">
        <f>IF(A32="","",N(G32)+N(H32)-N(I32)-N(J32))</f>
        <v/>
      </c>
      <c r="L32" s="15" t="n"/>
      <c r="M32" s="12">
        <f>IF(L32="","",L32-K32)</f>
        <v/>
      </c>
      <c r="N32" s="7">
        <f>IF(M32="","",M32*N(E32))</f>
        <v/>
      </c>
      <c r="O32" s="7">
        <f>IF(A32="","",IF(L32="",K32,L32)*N(D32))</f>
        <v/>
      </c>
      <c r="P32" s="7">
        <f>IF(OR(D32="",E32=""),"",E32-D32)</f>
        <v/>
      </c>
      <c r="Q32" s="8">
        <f>IF(OR(N(E32)=0,P32=""),"",P32/E32)</f>
        <v/>
      </c>
      <c r="R32" s="12">
        <f>IF(OR(A32="",F32=""),"",IF(IF(L32="",K32,L32)&lt;=F32,"À COMMANDER","OK"))</f>
        <v/>
      </c>
    </row>
    <row r="33">
      <c r="A33" s="15" t="n"/>
      <c r="B33" s="15" t="n"/>
      <c r="C33" s="15" t="n"/>
      <c r="D33" s="17" t="n"/>
      <c r="E33" s="17" t="n"/>
      <c r="F33" s="15" t="n"/>
      <c r="G33" s="15" t="n"/>
      <c r="H33" s="15" t="n"/>
      <c r="I33" s="15" t="n"/>
      <c r="J33" s="15" t="n"/>
      <c r="K33" s="12">
        <f>IF(A33="","",N(G33)+N(H33)-N(I33)-N(J33))</f>
        <v/>
      </c>
      <c r="L33" s="15" t="n"/>
      <c r="M33" s="12">
        <f>IF(L33="","",L33-K33)</f>
        <v/>
      </c>
      <c r="N33" s="7">
        <f>IF(M33="","",M33*N(E33))</f>
        <v/>
      </c>
      <c r="O33" s="7">
        <f>IF(A33="","",IF(L33="",K33,L33)*N(D33))</f>
        <v/>
      </c>
      <c r="P33" s="7">
        <f>IF(OR(D33="",E33=""),"",E33-D33)</f>
        <v/>
      </c>
      <c r="Q33" s="8">
        <f>IF(OR(N(E33)=0,P33=""),"",P33/E33)</f>
        <v/>
      </c>
      <c r="R33" s="12">
        <f>IF(OR(A33="",F33=""),"",IF(IF(L33="",K33,L33)&lt;=F33,"À COMMANDER","OK"))</f>
        <v/>
      </c>
    </row>
    <row r="34">
      <c r="A34" s="15" t="n"/>
      <c r="B34" s="15" t="n"/>
      <c r="C34" s="15" t="n"/>
      <c r="D34" s="17" t="n"/>
      <c r="E34" s="17" t="n"/>
      <c r="F34" s="15" t="n"/>
      <c r="G34" s="15" t="n"/>
      <c r="H34" s="15" t="n"/>
      <c r="I34" s="15" t="n"/>
      <c r="J34" s="15" t="n"/>
      <c r="K34" s="12">
        <f>IF(A34="","",N(G34)+N(H34)-N(I34)-N(J34))</f>
        <v/>
      </c>
      <c r="L34" s="15" t="n"/>
      <c r="M34" s="12">
        <f>IF(L34="","",L34-K34)</f>
        <v/>
      </c>
      <c r="N34" s="7">
        <f>IF(M34="","",M34*N(E34))</f>
        <v/>
      </c>
      <c r="O34" s="7">
        <f>IF(A34="","",IF(L34="",K34,L34)*N(D34))</f>
        <v/>
      </c>
      <c r="P34" s="7">
        <f>IF(OR(D34="",E34=""),"",E34-D34)</f>
        <v/>
      </c>
      <c r="Q34" s="8">
        <f>IF(OR(N(E34)=0,P34=""),"",P34/E34)</f>
        <v/>
      </c>
      <c r="R34" s="12">
        <f>IF(OR(A34="",F34=""),"",IF(IF(L34="",K34,L34)&lt;=F34,"À COMMANDER","OK"))</f>
        <v/>
      </c>
    </row>
    <row r="35">
      <c r="A35" s="15" t="n"/>
      <c r="B35" s="15" t="n"/>
      <c r="C35" s="15" t="n"/>
      <c r="D35" s="17" t="n"/>
      <c r="E35" s="17" t="n"/>
      <c r="F35" s="15" t="n"/>
      <c r="G35" s="15" t="n"/>
      <c r="H35" s="15" t="n"/>
      <c r="I35" s="15" t="n"/>
      <c r="J35" s="15" t="n"/>
      <c r="K35" s="12">
        <f>IF(A35="","",N(G35)+N(H35)-N(I35)-N(J35))</f>
        <v/>
      </c>
      <c r="L35" s="15" t="n"/>
      <c r="M35" s="12">
        <f>IF(L35="","",L35-K35)</f>
        <v/>
      </c>
      <c r="N35" s="7">
        <f>IF(M35="","",M35*N(E35))</f>
        <v/>
      </c>
      <c r="O35" s="7">
        <f>IF(A35="","",IF(L35="",K35,L35)*N(D35))</f>
        <v/>
      </c>
      <c r="P35" s="7">
        <f>IF(OR(D35="",E35=""),"",E35-D35)</f>
        <v/>
      </c>
      <c r="Q35" s="8">
        <f>IF(OR(N(E35)=0,P35=""),"",P35/E35)</f>
        <v/>
      </c>
      <c r="R35" s="12">
        <f>IF(OR(A35="",F35=""),"",IF(IF(L35="",K35,L35)&lt;=F35,"À COMMANDER","OK"))</f>
        <v/>
      </c>
    </row>
    <row r="36">
      <c r="A36" s="15" t="n"/>
      <c r="B36" s="15" t="n"/>
      <c r="C36" s="15" t="n"/>
      <c r="D36" s="17" t="n"/>
      <c r="E36" s="17" t="n"/>
      <c r="F36" s="15" t="n"/>
      <c r="G36" s="15" t="n"/>
      <c r="H36" s="15" t="n"/>
      <c r="I36" s="15" t="n"/>
      <c r="J36" s="15" t="n"/>
      <c r="K36" s="12">
        <f>IF(A36="","",N(G36)+N(H36)-N(I36)-N(J36))</f>
        <v/>
      </c>
      <c r="L36" s="15" t="n"/>
      <c r="M36" s="12">
        <f>IF(L36="","",L36-K36)</f>
        <v/>
      </c>
      <c r="N36" s="7">
        <f>IF(M36="","",M36*N(E36))</f>
        <v/>
      </c>
      <c r="O36" s="7">
        <f>IF(A36="","",IF(L36="",K36,L36)*N(D36))</f>
        <v/>
      </c>
      <c r="P36" s="7">
        <f>IF(OR(D36="",E36=""),"",E36-D36)</f>
        <v/>
      </c>
      <c r="Q36" s="8">
        <f>IF(OR(N(E36)=0,P36=""),"",P36/E36)</f>
        <v/>
      </c>
      <c r="R36" s="12">
        <f>IF(OR(A36="",F36=""),"",IF(IF(L36="",K36,L36)&lt;=F36,"À COMMANDER","OK"))</f>
        <v/>
      </c>
    </row>
    <row r="37">
      <c r="A37" s="15" t="n"/>
      <c r="B37" s="15" t="n"/>
      <c r="C37" s="15" t="n"/>
      <c r="D37" s="17" t="n"/>
      <c r="E37" s="17" t="n"/>
      <c r="F37" s="15" t="n"/>
      <c r="G37" s="15" t="n"/>
      <c r="H37" s="15" t="n"/>
      <c r="I37" s="15" t="n"/>
      <c r="J37" s="15" t="n"/>
      <c r="K37" s="12">
        <f>IF(A37="","",N(G37)+N(H37)-N(I37)-N(J37))</f>
        <v/>
      </c>
      <c r="L37" s="15" t="n"/>
      <c r="M37" s="12">
        <f>IF(L37="","",L37-K37)</f>
        <v/>
      </c>
      <c r="N37" s="7">
        <f>IF(M37="","",M37*N(E37))</f>
        <v/>
      </c>
      <c r="O37" s="7">
        <f>IF(A37="","",IF(L37="",K37,L37)*N(D37))</f>
        <v/>
      </c>
      <c r="P37" s="7">
        <f>IF(OR(D37="",E37=""),"",E37-D37)</f>
        <v/>
      </c>
      <c r="Q37" s="8">
        <f>IF(OR(N(E37)=0,P37=""),"",P37/E37)</f>
        <v/>
      </c>
      <c r="R37" s="12">
        <f>IF(OR(A37="",F37=""),"",IF(IF(L37="",K37,L37)&lt;=F37,"À COMMANDER","OK"))</f>
        <v/>
      </c>
    </row>
    <row r="38">
      <c r="A38" s="15" t="n"/>
      <c r="B38" s="15" t="n"/>
      <c r="C38" s="15" t="n"/>
      <c r="D38" s="17" t="n"/>
      <c r="E38" s="17" t="n"/>
      <c r="F38" s="15" t="n"/>
      <c r="G38" s="15" t="n"/>
      <c r="H38" s="15" t="n"/>
      <c r="I38" s="15" t="n"/>
      <c r="J38" s="15" t="n"/>
      <c r="K38" s="12">
        <f>IF(A38="","",N(G38)+N(H38)-N(I38)-N(J38))</f>
        <v/>
      </c>
      <c r="L38" s="15" t="n"/>
      <c r="M38" s="12">
        <f>IF(L38="","",L38-K38)</f>
        <v/>
      </c>
      <c r="N38" s="7">
        <f>IF(M38="","",M38*N(E38))</f>
        <v/>
      </c>
      <c r="O38" s="7">
        <f>IF(A38="","",IF(L38="",K38,L38)*N(D38))</f>
        <v/>
      </c>
      <c r="P38" s="7">
        <f>IF(OR(D38="",E38=""),"",E38-D38)</f>
        <v/>
      </c>
      <c r="Q38" s="8">
        <f>IF(OR(N(E38)=0,P38=""),"",P38/E38)</f>
        <v/>
      </c>
      <c r="R38" s="12">
        <f>IF(OR(A38="",F38=""),"",IF(IF(L38="",K38,L38)&lt;=F38,"À COMMANDER","OK"))</f>
        <v/>
      </c>
    </row>
    <row r="39">
      <c r="A39" s="15" t="n"/>
      <c r="B39" s="15" t="n"/>
      <c r="C39" s="15" t="n"/>
      <c r="D39" s="17" t="n"/>
      <c r="E39" s="17" t="n"/>
      <c r="F39" s="15" t="n"/>
      <c r="G39" s="15" t="n"/>
      <c r="H39" s="15" t="n"/>
      <c r="I39" s="15" t="n"/>
      <c r="J39" s="15" t="n"/>
      <c r="K39" s="12">
        <f>IF(A39="","",N(G39)+N(H39)-N(I39)-N(J39))</f>
        <v/>
      </c>
      <c r="L39" s="15" t="n"/>
      <c r="M39" s="12">
        <f>IF(L39="","",L39-K39)</f>
        <v/>
      </c>
      <c r="N39" s="7">
        <f>IF(M39="","",M39*N(E39))</f>
        <v/>
      </c>
      <c r="O39" s="7">
        <f>IF(A39="","",IF(L39="",K39,L39)*N(D39))</f>
        <v/>
      </c>
      <c r="P39" s="7">
        <f>IF(OR(D39="",E39=""),"",E39-D39)</f>
        <v/>
      </c>
      <c r="Q39" s="8">
        <f>IF(OR(N(E39)=0,P39=""),"",P39/E39)</f>
        <v/>
      </c>
      <c r="R39" s="12">
        <f>IF(OR(A39="",F39=""),"",IF(IF(L39="",K39,L39)&lt;=F39,"À COMMANDER","OK"))</f>
        <v/>
      </c>
    </row>
    <row r="40">
      <c r="A40" s="15" t="n"/>
      <c r="B40" s="15" t="n"/>
      <c r="C40" s="15" t="n"/>
      <c r="D40" s="17" t="n"/>
      <c r="E40" s="17" t="n"/>
      <c r="F40" s="15" t="n"/>
      <c r="G40" s="15" t="n"/>
      <c r="H40" s="15" t="n"/>
      <c r="I40" s="15" t="n"/>
      <c r="J40" s="15" t="n"/>
      <c r="K40" s="12">
        <f>IF(A40="","",N(G40)+N(H40)-N(I40)-N(J40))</f>
        <v/>
      </c>
      <c r="L40" s="15" t="n"/>
      <c r="M40" s="12">
        <f>IF(L40="","",L40-K40)</f>
        <v/>
      </c>
      <c r="N40" s="7">
        <f>IF(M40="","",M40*N(E40))</f>
        <v/>
      </c>
      <c r="O40" s="7">
        <f>IF(A40="","",IF(L40="",K40,L40)*N(D40))</f>
        <v/>
      </c>
      <c r="P40" s="7">
        <f>IF(OR(D40="",E40=""),"",E40-D40)</f>
        <v/>
      </c>
      <c r="Q40" s="8">
        <f>IF(OR(N(E40)=0,P40=""),"",P40/E40)</f>
        <v/>
      </c>
      <c r="R40" s="12">
        <f>IF(OR(A40="",F40=""),"",IF(IF(L40="",K40,L40)&lt;=F40,"À COMMANDER","OK"))</f>
        <v/>
      </c>
    </row>
    <row r="41">
      <c r="A41" s="15" t="n"/>
      <c r="B41" s="15" t="n"/>
      <c r="C41" s="15" t="n"/>
      <c r="D41" s="17" t="n"/>
      <c r="E41" s="17" t="n"/>
      <c r="F41" s="15" t="n"/>
      <c r="G41" s="15" t="n"/>
      <c r="H41" s="15" t="n"/>
      <c r="I41" s="15" t="n"/>
      <c r="J41" s="15" t="n"/>
      <c r="K41" s="12">
        <f>IF(A41="","",N(G41)+N(H41)-N(I41)-N(J41))</f>
        <v/>
      </c>
      <c r="L41" s="15" t="n"/>
      <c r="M41" s="12">
        <f>IF(L41="","",L41-K41)</f>
        <v/>
      </c>
      <c r="N41" s="7">
        <f>IF(M41="","",M41*N(E41))</f>
        <v/>
      </c>
      <c r="O41" s="7">
        <f>IF(A41="","",IF(L41="",K41,L41)*N(D41))</f>
        <v/>
      </c>
      <c r="P41" s="7">
        <f>IF(OR(D41="",E41=""),"",E41-D41)</f>
        <v/>
      </c>
      <c r="Q41" s="8">
        <f>IF(OR(N(E41)=0,P41=""),"",P41/E41)</f>
        <v/>
      </c>
      <c r="R41" s="12">
        <f>IF(OR(A41="",F41=""),"",IF(IF(L41="",K41,L41)&lt;=F41,"À COMMANDER","OK"))</f>
        <v/>
      </c>
    </row>
    <row r="42">
      <c r="A42" s="15" t="n"/>
      <c r="B42" s="15" t="n"/>
      <c r="C42" s="15" t="n"/>
      <c r="D42" s="17" t="n"/>
      <c r="E42" s="17" t="n"/>
      <c r="F42" s="15" t="n"/>
      <c r="G42" s="15" t="n"/>
      <c r="H42" s="15" t="n"/>
      <c r="I42" s="15" t="n"/>
      <c r="J42" s="15" t="n"/>
      <c r="K42" s="12">
        <f>IF(A42="","",N(G42)+N(H42)-N(I42)-N(J42))</f>
        <v/>
      </c>
      <c r="L42" s="15" t="n"/>
      <c r="M42" s="12">
        <f>IF(L42="","",L42-K42)</f>
        <v/>
      </c>
      <c r="N42" s="7">
        <f>IF(M42="","",M42*N(E42))</f>
        <v/>
      </c>
      <c r="O42" s="7">
        <f>IF(A42="","",IF(L42="",K42,L42)*N(D42))</f>
        <v/>
      </c>
      <c r="P42" s="7">
        <f>IF(OR(D42="",E42=""),"",E42-D42)</f>
        <v/>
      </c>
      <c r="Q42" s="8">
        <f>IF(OR(N(E42)=0,P42=""),"",P42/E42)</f>
        <v/>
      </c>
      <c r="R42" s="12">
        <f>IF(OR(A42="",F42=""),"",IF(IF(L42="",K42,L42)&lt;=F42,"À COMMANDER","OK"))</f>
        <v/>
      </c>
    </row>
    <row r="43">
      <c r="A43" s="15" t="n"/>
      <c r="B43" s="15" t="n"/>
      <c r="C43" s="15" t="n"/>
      <c r="D43" s="17" t="n"/>
      <c r="E43" s="17" t="n"/>
      <c r="F43" s="15" t="n"/>
      <c r="G43" s="15" t="n"/>
      <c r="H43" s="15" t="n"/>
      <c r="I43" s="15" t="n"/>
      <c r="J43" s="15" t="n"/>
      <c r="K43" s="12">
        <f>IF(A43="","",N(G43)+N(H43)-N(I43)-N(J43))</f>
        <v/>
      </c>
      <c r="L43" s="15" t="n"/>
      <c r="M43" s="12">
        <f>IF(L43="","",L43-K43)</f>
        <v/>
      </c>
      <c r="N43" s="7">
        <f>IF(M43="","",M43*N(E43))</f>
        <v/>
      </c>
      <c r="O43" s="7">
        <f>IF(A43="","",IF(L43="",K43,L43)*N(D43))</f>
        <v/>
      </c>
      <c r="P43" s="7">
        <f>IF(OR(D43="",E43=""),"",E43-D43)</f>
        <v/>
      </c>
      <c r="Q43" s="8">
        <f>IF(OR(N(E43)=0,P43=""),"",P43/E43)</f>
        <v/>
      </c>
      <c r="R43" s="12">
        <f>IF(OR(A43="",F43=""),"",IF(IF(L43="",K43,L43)&lt;=F43,"À COMMANDER","OK"))</f>
        <v/>
      </c>
    </row>
    <row r="44">
      <c r="A44" s="15" t="n"/>
      <c r="B44" s="15" t="n"/>
      <c r="C44" s="15" t="n"/>
      <c r="D44" s="17" t="n"/>
      <c r="E44" s="17" t="n"/>
      <c r="F44" s="15" t="n"/>
      <c r="G44" s="15" t="n"/>
      <c r="H44" s="15" t="n"/>
      <c r="I44" s="15" t="n"/>
      <c r="J44" s="15" t="n"/>
      <c r="K44" s="12">
        <f>IF(A44="","",N(G44)+N(H44)-N(I44)-N(J44))</f>
        <v/>
      </c>
      <c r="L44" s="15" t="n"/>
      <c r="M44" s="12">
        <f>IF(L44="","",L44-K44)</f>
        <v/>
      </c>
      <c r="N44" s="7">
        <f>IF(M44="","",M44*N(E44))</f>
        <v/>
      </c>
      <c r="O44" s="7">
        <f>IF(A44="","",IF(L44="",K44,L44)*N(D44))</f>
        <v/>
      </c>
      <c r="P44" s="7">
        <f>IF(OR(D44="",E44=""),"",E44-D44)</f>
        <v/>
      </c>
      <c r="Q44" s="8">
        <f>IF(OR(N(E44)=0,P44=""),"",P44/E44)</f>
        <v/>
      </c>
      <c r="R44" s="12">
        <f>IF(OR(A44="",F44=""),"",IF(IF(L44="",K44,L44)&lt;=F44,"À COMMANDER","OK"))</f>
        <v/>
      </c>
    </row>
    <row r="45">
      <c r="A45" s="15" t="n"/>
      <c r="B45" s="15" t="n"/>
      <c r="C45" s="15" t="n"/>
      <c r="D45" s="17" t="n"/>
      <c r="E45" s="17" t="n"/>
      <c r="F45" s="15" t="n"/>
      <c r="G45" s="15" t="n"/>
      <c r="H45" s="15" t="n"/>
      <c r="I45" s="15" t="n"/>
      <c r="J45" s="15" t="n"/>
      <c r="K45" s="12">
        <f>IF(A45="","",N(G45)+N(H45)-N(I45)-N(J45))</f>
        <v/>
      </c>
      <c r="L45" s="15" t="n"/>
      <c r="M45" s="12">
        <f>IF(L45="","",L45-K45)</f>
        <v/>
      </c>
      <c r="N45" s="7">
        <f>IF(M45="","",M45*N(E45))</f>
        <v/>
      </c>
      <c r="O45" s="7">
        <f>IF(A45="","",IF(L45="",K45,L45)*N(D45))</f>
        <v/>
      </c>
      <c r="P45" s="7">
        <f>IF(OR(D45="",E45=""),"",E45-D45)</f>
        <v/>
      </c>
      <c r="Q45" s="8">
        <f>IF(OR(N(E45)=0,P45=""),"",P45/E45)</f>
        <v/>
      </c>
      <c r="R45" s="12">
        <f>IF(OR(A45="",F45=""),"",IF(IF(L45="",K45,L45)&lt;=F45,"À COMMANDER","OK"))</f>
        <v/>
      </c>
    </row>
    <row r="46">
      <c r="A46" s="15" t="n"/>
      <c r="B46" s="15" t="n"/>
      <c r="C46" s="15" t="n"/>
      <c r="D46" s="17" t="n"/>
      <c r="E46" s="17" t="n"/>
      <c r="F46" s="15" t="n"/>
      <c r="G46" s="15" t="n"/>
      <c r="H46" s="15" t="n"/>
      <c r="I46" s="15" t="n"/>
      <c r="J46" s="15" t="n"/>
      <c r="K46" s="12">
        <f>IF(A46="","",N(G46)+N(H46)-N(I46)-N(J46))</f>
        <v/>
      </c>
      <c r="L46" s="15" t="n"/>
      <c r="M46" s="12">
        <f>IF(L46="","",L46-K46)</f>
        <v/>
      </c>
      <c r="N46" s="7">
        <f>IF(M46="","",M46*N(E46))</f>
        <v/>
      </c>
      <c r="O46" s="7">
        <f>IF(A46="","",IF(L46="",K46,L46)*N(D46))</f>
        <v/>
      </c>
      <c r="P46" s="7">
        <f>IF(OR(D46="",E46=""),"",E46-D46)</f>
        <v/>
      </c>
      <c r="Q46" s="8">
        <f>IF(OR(N(E46)=0,P46=""),"",P46/E46)</f>
        <v/>
      </c>
      <c r="R46" s="12">
        <f>IF(OR(A46="",F46=""),"",IF(IF(L46="",K46,L46)&lt;=F46,"À COMMANDER","OK"))</f>
        <v/>
      </c>
    </row>
    <row r="47">
      <c r="A47" s="15" t="n"/>
      <c r="B47" s="15" t="n"/>
      <c r="C47" s="15" t="n"/>
      <c r="D47" s="17" t="n"/>
      <c r="E47" s="17" t="n"/>
      <c r="F47" s="15" t="n"/>
      <c r="G47" s="15" t="n"/>
      <c r="H47" s="15" t="n"/>
      <c r="I47" s="15" t="n"/>
      <c r="J47" s="15" t="n"/>
      <c r="K47" s="12">
        <f>IF(A47="","",N(G47)+N(H47)-N(I47)-N(J47))</f>
        <v/>
      </c>
      <c r="L47" s="15" t="n"/>
      <c r="M47" s="12">
        <f>IF(L47="","",L47-K47)</f>
        <v/>
      </c>
      <c r="N47" s="7">
        <f>IF(M47="","",M47*N(E47))</f>
        <v/>
      </c>
      <c r="O47" s="7">
        <f>IF(A47="","",IF(L47="",K47,L47)*N(D47))</f>
        <v/>
      </c>
      <c r="P47" s="7">
        <f>IF(OR(D47="",E47=""),"",E47-D47)</f>
        <v/>
      </c>
      <c r="Q47" s="8">
        <f>IF(OR(N(E47)=0,P47=""),"",P47/E47)</f>
        <v/>
      </c>
      <c r="R47" s="12">
        <f>IF(OR(A47="",F47=""),"",IF(IF(L47="",K47,L47)&lt;=F47,"À COMMANDER","OK"))</f>
        <v/>
      </c>
    </row>
    <row r="48">
      <c r="A48" s="15" t="n"/>
      <c r="B48" s="15" t="n"/>
      <c r="C48" s="15" t="n"/>
      <c r="D48" s="17" t="n"/>
      <c r="E48" s="17" t="n"/>
      <c r="F48" s="15" t="n"/>
      <c r="G48" s="15" t="n"/>
      <c r="H48" s="15" t="n"/>
      <c r="I48" s="15" t="n"/>
      <c r="J48" s="15" t="n"/>
      <c r="K48" s="12">
        <f>IF(A48="","",N(G48)+N(H48)-N(I48)-N(J48))</f>
        <v/>
      </c>
      <c r="L48" s="15" t="n"/>
      <c r="M48" s="12">
        <f>IF(L48="","",L48-K48)</f>
        <v/>
      </c>
      <c r="N48" s="7">
        <f>IF(M48="","",M48*N(E48))</f>
        <v/>
      </c>
      <c r="O48" s="7">
        <f>IF(A48="","",IF(L48="",K48,L48)*N(D48))</f>
        <v/>
      </c>
      <c r="P48" s="7">
        <f>IF(OR(D48="",E48=""),"",E48-D48)</f>
        <v/>
      </c>
      <c r="Q48" s="8">
        <f>IF(OR(N(E48)=0,P48=""),"",P48/E48)</f>
        <v/>
      </c>
      <c r="R48" s="12">
        <f>IF(OR(A48="",F48=""),"",IF(IF(L48="",K48,L48)&lt;=F48,"À COMMANDER","OK"))</f>
        <v/>
      </c>
    </row>
    <row r="49">
      <c r="A49" s="15" t="n"/>
      <c r="B49" s="15" t="n"/>
      <c r="C49" s="15" t="n"/>
      <c r="D49" s="17" t="n"/>
      <c r="E49" s="17" t="n"/>
      <c r="F49" s="15" t="n"/>
      <c r="G49" s="15" t="n"/>
      <c r="H49" s="15" t="n"/>
      <c r="I49" s="15" t="n"/>
      <c r="J49" s="15" t="n"/>
      <c r="K49" s="12">
        <f>IF(A49="","",N(G49)+N(H49)-N(I49)-N(J49))</f>
        <v/>
      </c>
      <c r="L49" s="15" t="n"/>
      <c r="M49" s="12">
        <f>IF(L49="","",L49-K49)</f>
        <v/>
      </c>
      <c r="N49" s="7">
        <f>IF(M49="","",M49*N(E49))</f>
        <v/>
      </c>
      <c r="O49" s="7">
        <f>IF(A49="","",IF(L49="",K49,L49)*N(D49))</f>
        <v/>
      </c>
      <c r="P49" s="7">
        <f>IF(OR(D49="",E49=""),"",E49-D49)</f>
        <v/>
      </c>
      <c r="Q49" s="8">
        <f>IF(OR(N(E49)=0,P49=""),"",P49/E49)</f>
        <v/>
      </c>
      <c r="R49" s="12">
        <f>IF(OR(A49="",F49=""),"",IF(IF(L49="",K49,L49)&lt;=F49,"À COMMANDER","OK"))</f>
        <v/>
      </c>
    </row>
    <row r="50">
      <c r="A50" s="15" t="n"/>
      <c r="B50" s="15" t="n"/>
      <c r="C50" s="15" t="n"/>
      <c r="D50" s="17" t="n"/>
      <c r="E50" s="17" t="n"/>
      <c r="F50" s="15" t="n"/>
      <c r="G50" s="15" t="n"/>
      <c r="H50" s="15" t="n"/>
      <c r="I50" s="15" t="n"/>
      <c r="J50" s="15" t="n"/>
      <c r="K50" s="12">
        <f>IF(A50="","",N(G50)+N(H50)-N(I50)-N(J50))</f>
        <v/>
      </c>
      <c r="L50" s="15" t="n"/>
      <c r="M50" s="12">
        <f>IF(L50="","",L50-K50)</f>
        <v/>
      </c>
      <c r="N50" s="7">
        <f>IF(M50="","",M50*N(E50))</f>
        <v/>
      </c>
      <c r="O50" s="7">
        <f>IF(A50="","",IF(L50="",K50,L50)*N(D50))</f>
        <v/>
      </c>
      <c r="P50" s="7">
        <f>IF(OR(D50="",E50=""),"",E50-D50)</f>
        <v/>
      </c>
      <c r="Q50" s="8">
        <f>IF(OR(N(E50)=0,P50=""),"",P50/E50)</f>
        <v/>
      </c>
      <c r="R50" s="12">
        <f>IF(OR(A50="",F50=""),"",IF(IF(L50="",K50,L50)&lt;=F50,"À COMMANDER","OK"))</f>
        <v/>
      </c>
    </row>
    <row r="51">
      <c r="A51" s="15" t="n"/>
      <c r="B51" s="15" t="n"/>
      <c r="C51" s="15" t="n"/>
      <c r="D51" s="17" t="n"/>
      <c r="E51" s="17" t="n"/>
      <c r="F51" s="15" t="n"/>
      <c r="G51" s="15" t="n"/>
      <c r="H51" s="15" t="n"/>
      <c r="I51" s="15" t="n"/>
      <c r="J51" s="15" t="n"/>
      <c r="K51" s="12">
        <f>IF(A51="","",N(G51)+N(H51)-N(I51)-N(J51))</f>
        <v/>
      </c>
      <c r="L51" s="15" t="n"/>
      <c r="M51" s="12">
        <f>IF(L51="","",L51-K51)</f>
        <v/>
      </c>
      <c r="N51" s="7">
        <f>IF(M51="","",M51*N(E51))</f>
        <v/>
      </c>
      <c r="O51" s="7">
        <f>IF(A51="","",IF(L51="",K51,L51)*N(D51))</f>
        <v/>
      </c>
      <c r="P51" s="7">
        <f>IF(OR(D51="",E51=""),"",E51-D51)</f>
        <v/>
      </c>
      <c r="Q51" s="8">
        <f>IF(OR(N(E51)=0,P51=""),"",P51/E51)</f>
        <v/>
      </c>
      <c r="R51" s="12">
        <f>IF(OR(A51="",F51=""),"",IF(IF(L51="",K51,L51)&lt;=F51,"À COMMANDER","OK"))</f>
        <v/>
      </c>
    </row>
    <row r="52">
      <c r="A52" s="15" t="n"/>
      <c r="B52" s="15" t="n"/>
      <c r="C52" s="15" t="n"/>
      <c r="D52" s="17" t="n"/>
      <c r="E52" s="17" t="n"/>
      <c r="F52" s="15" t="n"/>
      <c r="G52" s="15" t="n"/>
      <c r="H52" s="15" t="n"/>
      <c r="I52" s="15" t="n"/>
      <c r="J52" s="15" t="n"/>
      <c r="K52" s="12">
        <f>IF(A52="","",N(G52)+N(H52)-N(I52)-N(J52))</f>
        <v/>
      </c>
      <c r="L52" s="15" t="n"/>
      <c r="M52" s="12">
        <f>IF(L52="","",L52-K52)</f>
        <v/>
      </c>
      <c r="N52" s="7">
        <f>IF(M52="","",M52*N(E52))</f>
        <v/>
      </c>
      <c r="O52" s="7">
        <f>IF(A52="","",IF(L52="",K52,L52)*N(D52))</f>
        <v/>
      </c>
      <c r="P52" s="7">
        <f>IF(OR(D52="",E52=""),"",E52-D52)</f>
        <v/>
      </c>
      <c r="Q52" s="8">
        <f>IF(OR(N(E52)=0,P52=""),"",P52/E52)</f>
        <v/>
      </c>
      <c r="R52" s="12">
        <f>IF(OR(A52="",F52=""),"",IF(IF(L52="",K52,L52)&lt;=F52,"À COMMANDER","OK"))</f>
        <v/>
      </c>
    </row>
    <row r="53">
      <c r="A53" s="15" t="n"/>
      <c r="B53" s="15" t="n"/>
      <c r="C53" s="15" t="n"/>
      <c r="D53" s="17" t="n"/>
      <c r="E53" s="17" t="n"/>
      <c r="F53" s="15" t="n"/>
      <c r="G53" s="15" t="n"/>
      <c r="H53" s="15" t="n"/>
      <c r="I53" s="15" t="n"/>
      <c r="J53" s="15" t="n"/>
      <c r="K53" s="12">
        <f>IF(A53="","",N(G53)+N(H53)-N(I53)-N(J53))</f>
        <v/>
      </c>
      <c r="L53" s="15" t="n"/>
      <c r="M53" s="12">
        <f>IF(L53="","",L53-K53)</f>
        <v/>
      </c>
      <c r="N53" s="7">
        <f>IF(M53="","",M53*N(E53))</f>
        <v/>
      </c>
      <c r="O53" s="7">
        <f>IF(A53="","",IF(L53="",K53,L53)*N(D53))</f>
        <v/>
      </c>
      <c r="P53" s="7">
        <f>IF(OR(D53="",E53=""),"",E53-D53)</f>
        <v/>
      </c>
      <c r="Q53" s="8">
        <f>IF(OR(N(E53)=0,P53=""),"",P53/E53)</f>
        <v/>
      </c>
      <c r="R53" s="12">
        <f>IF(OR(A53="",F53=""),"",IF(IF(L53="",K53,L53)&lt;=F53,"À COMMANDER","OK"))</f>
        <v/>
      </c>
    </row>
    <row r="54">
      <c r="A54" s="15" t="n"/>
      <c r="B54" s="15" t="n"/>
      <c r="C54" s="15" t="n"/>
      <c r="D54" s="17" t="n"/>
      <c r="E54" s="17" t="n"/>
      <c r="F54" s="15" t="n"/>
      <c r="G54" s="15" t="n"/>
      <c r="H54" s="15" t="n"/>
      <c r="I54" s="15" t="n"/>
      <c r="J54" s="15" t="n"/>
      <c r="K54" s="12">
        <f>IF(A54="","",N(G54)+N(H54)-N(I54)-N(J54))</f>
        <v/>
      </c>
      <c r="L54" s="15" t="n"/>
      <c r="M54" s="12">
        <f>IF(L54="","",L54-K54)</f>
        <v/>
      </c>
      <c r="N54" s="7">
        <f>IF(M54="","",M54*N(E54))</f>
        <v/>
      </c>
      <c r="O54" s="7">
        <f>IF(A54="","",IF(L54="",K54,L54)*N(D54))</f>
        <v/>
      </c>
      <c r="P54" s="7">
        <f>IF(OR(D54="",E54=""),"",E54-D54)</f>
        <v/>
      </c>
      <c r="Q54" s="8">
        <f>IF(OR(N(E54)=0,P54=""),"",P54/E54)</f>
        <v/>
      </c>
      <c r="R54" s="12">
        <f>IF(OR(A54="",F54=""),"",IF(IF(L54="",K54,L54)&lt;=F54,"À COMMANDER","OK"))</f>
        <v/>
      </c>
    </row>
    <row r="55">
      <c r="A55" s="15" t="n"/>
      <c r="B55" s="15" t="n"/>
      <c r="C55" s="15" t="n"/>
      <c r="D55" s="17" t="n"/>
      <c r="E55" s="17" t="n"/>
      <c r="F55" s="15" t="n"/>
      <c r="G55" s="15" t="n"/>
      <c r="H55" s="15" t="n"/>
      <c r="I55" s="15" t="n"/>
      <c r="J55" s="15" t="n"/>
      <c r="K55" s="12">
        <f>IF(A55="","",N(G55)+N(H55)-N(I55)-N(J55))</f>
        <v/>
      </c>
      <c r="L55" s="15" t="n"/>
      <c r="M55" s="12">
        <f>IF(L55="","",L55-K55)</f>
        <v/>
      </c>
      <c r="N55" s="7">
        <f>IF(M55="","",M55*N(E55))</f>
        <v/>
      </c>
      <c r="O55" s="7">
        <f>IF(A55="","",IF(L55="",K55,L55)*N(D55))</f>
        <v/>
      </c>
      <c r="P55" s="7">
        <f>IF(OR(D55="",E55=""),"",E55-D55)</f>
        <v/>
      </c>
      <c r="Q55" s="8">
        <f>IF(OR(N(E55)=0,P55=""),"",P55/E55)</f>
        <v/>
      </c>
      <c r="R55" s="12">
        <f>IF(OR(A55="",F55=""),"",IF(IF(L55="",K55,L55)&lt;=F55,"À COMMANDER","OK"))</f>
        <v/>
      </c>
    </row>
    <row r="56">
      <c r="A56" s="15" t="n"/>
      <c r="B56" s="15" t="n"/>
      <c r="C56" s="15" t="n"/>
      <c r="D56" s="17" t="n"/>
      <c r="E56" s="17" t="n"/>
      <c r="F56" s="15" t="n"/>
      <c r="G56" s="15" t="n"/>
      <c r="H56" s="15" t="n"/>
      <c r="I56" s="15" t="n"/>
      <c r="J56" s="15" t="n"/>
      <c r="K56" s="12">
        <f>IF(A56="","",N(G56)+N(H56)-N(I56)-N(J56))</f>
        <v/>
      </c>
      <c r="L56" s="15" t="n"/>
      <c r="M56" s="12">
        <f>IF(L56="","",L56-K56)</f>
        <v/>
      </c>
      <c r="N56" s="7">
        <f>IF(M56="","",M56*N(E56))</f>
        <v/>
      </c>
      <c r="O56" s="7">
        <f>IF(A56="","",IF(L56="",K56,L56)*N(D56))</f>
        <v/>
      </c>
      <c r="P56" s="7">
        <f>IF(OR(D56="",E56=""),"",E56-D56)</f>
        <v/>
      </c>
      <c r="Q56" s="8">
        <f>IF(OR(N(E56)=0,P56=""),"",P56/E56)</f>
        <v/>
      </c>
      <c r="R56" s="12">
        <f>IF(OR(A56="",F56=""),"",IF(IF(L56="",K56,L56)&lt;=F56,"À COMMANDER","OK"))</f>
        <v/>
      </c>
    </row>
    <row r="57">
      <c r="A57" s="15" t="n"/>
      <c r="B57" s="15" t="n"/>
      <c r="C57" s="15" t="n"/>
      <c r="D57" s="17" t="n"/>
      <c r="E57" s="17" t="n"/>
      <c r="F57" s="15" t="n"/>
      <c r="G57" s="15" t="n"/>
      <c r="H57" s="15" t="n"/>
      <c r="I57" s="15" t="n"/>
      <c r="J57" s="15" t="n"/>
      <c r="K57" s="12">
        <f>IF(A57="","",N(G57)+N(H57)-N(I57)-N(J57))</f>
        <v/>
      </c>
      <c r="L57" s="15" t="n"/>
      <c r="M57" s="12">
        <f>IF(L57="","",L57-K57)</f>
        <v/>
      </c>
      <c r="N57" s="7">
        <f>IF(M57="","",M57*N(E57))</f>
        <v/>
      </c>
      <c r="O57" s="7">
        <f>IF(A57="","",IF(L57="",K57,L57)*N(D57))</f>
        <v/>
      </c>
      <c r="P57" s="7">
        <f>IF(OR(D57="",E57=""),"",E57-D57)</f>
        <v/>
      </c>
      <c r="Q57" s="8">
        <f>IF(OR(N(E57)=0,P57=""),"",P57/E57)</f>
        <v/>
      </c>
      <c r="R57" s="12">
        <f>IF(OR(A57="",F57=""),"",IF(IF(L57="",K57,L57)&lt;=F57,"À COMMANDER","OK"))</f>
        <v/>
      </c>
    </row>
    <row r="58">
      <c r="A58" s="15" t="n"/>
      <c r="B58" s="15" t="n"/>
      <c r="C58" s="15" t="n"/>
      <c r="D58" s="17" t="n"/>
      <c r="E58" s="17" t="n"/>
      <c r="F58" s="15" t="n"/>
      <c r="G58" s="15" t="n"/>
      <c r="H58" s="15" t="n"/>
      <c r="I58" s="15" t="n"/>
      <c r="J58" s="15" t="n"/>
      <c r="K58" s="12">
        <f>IF(A58="","",N(G58)+N(H58)-N(I58)-N(J58))</f>
        <v/>
      </c>
      <c r="L58" s="15" t="n"/>
      <c r="M58" s="12">
        <f>IF(L58="","",L58-K58)</f>
        <v/>
      </c>
      <c r="N58" s="7">
        <f>IF(M58="","",M58*N(E58))</f>
        <v/>
      </c>
      <c r="O58" s="7">
        <f>IF(A58="","",IF(L58="",K58,L58)*N(D58))</f>
        <v/>
      </c>
      <c r="P58" s="7">
        <f>IF(OR(D58="",E58=""),"",E58-D58)</f>
        <v/>
      </c>
      <c r="Q58" s="8">
        <f>IF(OR(N(E58)=0,P58=""),"",P58/E58)</f>
        <v/>
      </c>
      <c r="R58" s="12">
        <f>IF(OR(A58="",F58=""),"",IF(IF(L58="",K58,L58)&lt;=F58,"À COMMANDER","OK"))</f>
        <v/>
      </c>
    </row>
    <row r="59">
      <c r="A59" s="15" t="n"/>
      <c r="B59" s="15" t="n"/>
      <c r="C59" s="15" t="n"/>
      <c r="D59" s="17" t="n"/>
      <c r="E59" s="17" t="n"/>
      <c r="F59" s="15" t="n"/>
      <c r="G59" s="15" t="n"/>
      <c r="H59" s="15" t="n"/>
      <c r="I59" s="15" t="n"/>
      <c r="J59" s="15" t="n"/>
      <c r="K59" s="12">
        <f>IF(A59="","",N(G59)+N(H59)-N(I59)-N(J59))</f>
        <v/>
      </c>
      <c r="L59" s="15" t="n"/>
      <c r="M59" s="12">
        <f>IF(L59="","",L59-K59)</f>
        <v/>
      </c>
      <c r="N59" s="7">
        <f>IF(M59="","",M59*N(E59))</f>
        <v/>
      </c>
      <c r="O59" s="7">
        <f>IF(A59="","",IF(L59="",K59,L59)*N(D59))</f>
        <v/>
      </c>
      <c r="P59" s="7">
        <f>IF(OR(D59="",E59=""),"",E59-D59)</f>
        <v/>
      </c>
      <c r="Q59" s="8">
        <f>IF(OR(N(E59)=0,P59=""),"",P59/E59)</f>
        <v/>
      </c>
      <c r="R59" s="12">
        <f>IF(OR(A59="",F59=""),"",IF(IF(L59="",K59,L59)&lt;=F59,"À COMMANDER","OK"))</f>
        <v/>
      </c>
    </row>
    <row r="60">
      <c r="A60" s="15" t="n"/>
      <c r="B60" s="15" t="n"/>
      <c r="C60" s="15" t="n"/>
      <c r="D60" s="17" t="n"/>
      <c r="E60" s="17" t="n"/>
      <c r="F60" s="15" t="n"/>
      <c r="G60" s="15" t="n"/>
      <c r="H60" s="15" t="n"/>
      <c r="I60" s="15" t="n"/>
      <c r="J60" s="15" t="n"/>
      <c r="K60" s="12">
        <f>IF(A60="","",N(G60)+N(H60)-N(I60)-N(J60))</f>
        <v/>
      </c>
      <c r="L60" s="15" t="n"/>
      <c r="M60" s="12">
        <f>IF(L60="","",L60-K60)</f>
        <v/>
      </c>
      <c r="N60" s="7">
        <f>IF(M60="","",M60*N(E60))</f>
        <v/>
      </c>
      <c r="O60" s="7">
        <f>IF(A60="","",IF(L60="",K60,L60)*N(D60))</f>
        <v/>
      </c>
      <c r="P60" s="7">
        <f>IF(OR(D60="",E60=""),"",E60-D60)</f>
        <v/>
      </c>
      <c r="Q60" s="8">
        <f>IF(OR(N(E60)=0,P60=""),"",P60/E60)</f>
        <v/>
      </c>
      <c r="R60" s="12">
        <f>IF(OR(A60="",F60=""),"",IF(IF(L60="",K60,L60)&lt;=F60,"À COMMANDER","OK"))</f>
        <v/>
      </c>
    </row>
    <row r="61">
      <c r="A61" s="15" t="n"/>
      <c r="B61" s="15" t="n"/>
      <c r="C61" s="15" t="n"/>
      <c r="D61" s="17" t="n"/>
      <c r="E61" s="17" t="n"/>
      <c r="F61" s="15" t="n"/>
      <c r="G61" s="15" t="n"/>
      <c r="H61" s="15" t="n"/>
      <c r="I61" s="15" t="n"/>
      <c r="J61" s="15" t="n"/>
      <c r="K61" s="12">
        <f>IF(A61="","",N(G61)+N(H61)-N(I61)-N(J61))</f>
        <v/>
      </c>
      <c r="L61" s="15" t="n"/>
      <c r="M61" s="12">
        <f>IF(L61="","",L61-K61)</f>
        <v/>
      </c>
      <c r="N61" s="7">
        <f>IF(M61="","",M61*N(E61))</f>
        <v/>
      </c>
      <c r="O61" s="7">
        <f>IF(A61="","",IF(L61="",K61,L61)*N(D61))</f>
        <v/>
      </c>
      <c r="P61" s="7">
        <f>IF(OR(D61="",E61=""),"",E61-D61)</f>
        <v/>
      </c>
      <c r="Q61" s="8">
        <f>IF(OR(N(E61)=0,P61=""),"",P61/E61)</f>
        <v/>
      </c>
      <c r="R61" s="12">
        <f>IF(OR(A61="",F61=""),"",IF(IF(L61="",K61,L61)&lt;=F61,"À COMMANDER","OK"))</f>
        <v/>
      </c>
    </row>
    <row r="62">
      <c r="A62" s="15" t="n"/>
      <c r="B62" s="15" t="n"/>
      <c r="C62" s="15" t="n"/>
      <c r="D62" s="17" t="n"/>
      <c r="E62" s="17" t="n"/>
      <c r="F62" s="15" t="n"/>
      <c r="G62" s="15" t="n"/>
      <c r="H62" s="15" t="n"/>
      <c r="I62" s="15" t="n"/>
      <c r="J62" s="15" t="n"/>
      <c r="K62" s="12">
        <f>IF(A62="","",N(G62)+N(H62)-N(I62)-N(J62))</f>
        <v/>
      </c>
      <c r="L62" s="15" t="n"/>
      <c r="M62" s="12">
        <f>IF(L62="","",L62-K62)</f>
        <v/>
      </c>
      <c r="N62" s="7">
        <f>IF(M62="","",M62*N(E62))</f>
        <v/>
      </c>
      <c r="O62" s="7">
        <f>IF(A62="","",IF(L62="",K62,L62)*N(D62))</f>
        <v/>
      </c>
      <c r="P62" s="7">
        <f>IF(OR(D62="",E62=""),"",E62-D62)</f>
        <v/>
      </c>
      <c r="Q62" s="8">
        <f>IF(OR(N(E62)=0,P62=""),"",P62/E62)</f>
        <v/>
      </c>
      <c r="R62" s="12">
        <f>IF(OR(A62="",F62=""),"",IF(IF(L62="",K62,L62)&lt;=F62,"À COMMANDER","OK"))</f>
        <v/>
      </c>
    </row>
    <row r="63">
      <c r="A63" s="15" t="n"/>
      <c r="B63" s="15" t="n"/>
      <c r="C63" s="15" t="n"/>
      <c r="D63" s="17" t="n"/>
      <c r="E63" s="17" t="n"/>
      <c r="F63" s="15" t="n"/>
      <c r="G63" s="15" t="n"/>
      <c r="H63" s="15" t="n"/>
      <c r="I63" s="15" t="n"/>
      <c r="J63" s="15" t="n"/>
      <c r="K63" s="12">
        <f>IF(A63="","",N(G63)+N(H63)-N(I63)-N(J63))</f>
        <v/>
      </c>
      <c r="L63" s="15" t="n"/>
      <c r="M63" s="12">
        <f>IF(L63="","",L63-K63)</f>
        <v/>
      </c>
      <c r="N63" s="7">
        <f>IF(M63="","",M63*N(E63))</f>
        <v/>
      </c>
      <c r="O63" s="7">
        <f>IF(A63="","",IF(L63="",K63,L63)*N(D63))</f>
        <v/>
      </c>
      <c r="P63" s="7">
        <f>IF(OR(D63="",E63=""),"",E63-D63)</f>
        <v/>
      </c>
      <c r="Q63" s="8">
        <f>IF(OR(N(E63)=0,P63=""),"",P63/E63)</f>
        <v/>
      </c>
      <c r="R63" s="12">
        <f>IF(OR(A63="",F63=""),"",IF(IF(L63="",K63,L63)&lt;=F63,"À COMMANDER","OK"))</f>
        <v/>
      </c>
    </row>
    <row r="64">
      <c r="A64" s="15" t="n"/>
      <c r="B64" s="15" t="n"/>
      <c r="C64" s="15" t="n"/>
      <c r="D64" s="17" t="n"/>
      <c r="E64" s="17" t="n"/>
      <c r="F64" s="15" t="n"/>
      <c r="G64" s="15" t="n"/>
      <c r="H64" s="15" t="n"/>
      <c r="I64" s="15" t="n"/>
      <c r="J64" s="15" t="n"/>
      <c r="K64" s="12">
        <f>IF(A64="","",N(G64)+N(H64)-N(I64)-N(J64))</f>
        <v/>
      </c>
      <c r="L64" s="15" t="n"/>
      <c r="M64" s="12">
        <f>IF(L64="","",L64-K64)</f>
        <v/>
      </c>
      <c r="N64" s="7">
        <f>IF(M64="","",M64*N(E64))</f>
        <v/>
      </c>
      <c r="O64" s="7">
        <f>IF(A64="","",IF(L64="",K64,L64)*N(D64))</f>
        <v/>
      </c>
      <c r="P64" s="7">
        <f>IF(OR(D64="",E64=""),"",E64-D64)</f>
        <v/>
      </c>
      <c r="Q64" s="8">
        <f>IF(OR(N(E64)=0,P64=""),"",P64/E64)</f>
        <v/>
      </c>
      <c r="R64" s="12">
        <f>IF(OR(A64="",F64=""),"",IF(IF(L64="",K64,L64)&lt;=F64,"À COMMANDER","OK"))</f>
        <v/>
      </c>
    </row>
    <row r="65">
      <c r="A65" s="15" t="n"/>
      <c r="B65" s="15" t="n"/>
      <c r="C65" s="15" t="n"/>
      <c r="D65" s="17" t="n"/>
      <c r="E65" s="17" t="n"/>
      <c r="F65" s="15" t="n"/>
      <c r="G65" s="15" t="n"/>
      <c r="H65" s="15" t="n"/>
      <c r="I65" s="15" t="n"/>
      <c r="J65" s="15" t="n"/>
      <c r="K65" s="12">
        <f>IF(A65="","",N(G65)+N(H65)-N(I65)-N(J65))</f>
        <v/>
      </c>
      <c r="L65" s="15" t="n"/>
      <c r="M65" s="12">
        <f>IF(L65="","",L65-K65)</f>
        <v/>
      </c>
      <c r="N65" s="7">
        <f>IF(M65="","",M65*N(E65))</f>
        <v/>
      </c>
      <c r="O65" s="7">
        <f>IF(A65="","",IF(L65="",K65,L65)*N(D65))</f>
        <v/>
      </c>
      <c r="P65" s="7">
        <f>IF(OR(D65="",E65=""),"",E65-D65)</f>
        <v/>
      </c>
      <c r="Q65" s="8">
        <f>IF(OR(N(E65)=0,P65=""),"",P65/E65)</f>
        <v/>
      </c>
      <c r="R65" s="12">
        <f>IF(OR(A65="",F65=""),"",IF(IF(L65="",K65,L65)&lt;=F65,"À COMMANDER","OK"))</f>
        <v/>
      </c>
    </row>
    <row r="66">
      <c r="A66" s="15" t="n"/>
      <c r="B66" s="15" t="n"/>
      <c r="C66" s="15" t="n"/>
      <c r="D66" s="17" t="n"/>
      <c r="E66" s="17" t="n"/>
      <c r="F66" s="15" t="n"/>
      <c r="G66" s="15" t="n"/>
      <c r="H66" s="15" t="n"/>
      <c r="I66" s="15" t="n"/>
      <c r="J66" s="15" t="n"/>
      <c r="K66" s="12">
        <f>IF(A66="","",N(G66)+N(H66)-N(I66)-N(J66))</f>
        <v/>
      </c>
      <c r="L66" s="15" t="n"/>
      <c r="M66" s="12">
        <f>IF(L66="","",L66-K66)</f>
        <v/>
      </c>
      <c r="N66" s="7">
        <f>IF(M66="","",M66*N(E66))</f>
        <v/>
      </c>
      <c r="O66" s="7">
        <f>IF(A66="","",IF(L66="",K66,L66)*N(D66))</f>
        <v/>
      </c>
      <c r="P66" s="7">
        <f>IF(OR(D66="",E66=""),"",E66-D66)</f>
        <v/>
      </c>
      <c r="Q66" s="8">
        <f>IF(OR(N(E66)=0,P66=""),"",P66/E66)</f>
        <v/>
      </c>
      <c r="R66" s="12">
        <f>IF(OR(A66="",F66=""),"",IF(IF(L66="",K66,L66)&lt;=F66,"À COMMANDER","OK"))</f>
        <v/>
      </c>
    </row>
    <row r="67">
      <c r="A67" s="15" t="n"/>
      <c r="B67" s="15" t="n"/>
      <c r="C67" s="15" t="n"/>
      <c r="D67" s="17" t="n"/>
      <c r="E67" s="17" t="n"/>
      <c r="F67" s="15" t="n"/>
      <c r="G67" s="15" t="n"/>
      <c r="H67" s="15" t="n"/>
      <c r="I67" s="15" t="n"/>
      <c r="J67" s="15" t="n"/>
      <c r="K67" s="12">
        <f>IF(A67="","",N(G67)+N(H67)-N(I67)-N(J67))</f>
        <v/>
      </c>
      <c r="L67" s="15" t="n"/>
      <c r="M67" s="12">
        <f>IF(L67="","",L67-K67)</f>
        <v/>
      </c>
      <c r="N67" s="7">
        <f>IF(M67="","",M67*N(E67))</f>
        <v/>
      </c>
      <c r="O67" s="7">
        <f>IF(A67="","",IF(L67="",K67,L67)*N(D67))</f>
        <v/>
      </c>
      <c r="P67" s="7">
        <f>IF(OR(D67="",E67=""),"",E67-D67)</f>
        <v/>
      </c>
      <c r="Q67" s="8">
        <f>IF(OR(N(E67)=0,P67=""),"",P67/E67)</f>
        <v/>
      </c>
      <c r="R67" s="12">
        <f>IF(OR(A67="",F67=""),"",IF(IF(L67="",K67,L67)&lt;=F67,"À COMMANDER","OK"))</f>
        <v/>
      </c>
    </row>
    <row r="68">
      <c r="A68" s="15" t="n"/>
      <c r="B68" s="15" t="n"/>
      <c r="C68" s="15" t="n"/>
      <c r="D68" s="17" t="n"/>
      <c r="E68" s="17" t="n"/>
      <c r="F68" s="15" t="n"/>
      <c r="G68" s="15" t="n"/>
      <c r="H68" s="15" t="n"/>
      <c r="I68" s="15" t="n"/>
      <c r="J68" s="15" t="n"/>
      <c r="K68" s="12">
        <f>IF(A68="","",N(G68)+N(H68)-N(I68)-N(J68))</f>
        <v/>
      </c>
      <c r="L68" s="15" t="n"/>
      <c r="M68" s="12">
        <f>IF(L68="","",L68-K68)</f>
        <v/>
      </c>
      <c r="N68" s="7">
        <f>IF(M68="","",M68*N(E68))</f>
        <v/>
      </c>
      <c r="O68" s="7">
        <f>IF(A68="","",IF(L68="",K68,L68)*N(D68))</f>
        <v/>
      </c>
      <c r="P68" s="7">
        <f>IF(OR(D68="",E68=""),"",E68-D68)</f>
        <v/>
      </c>
      <c r="Q68" s="8">
        <f>IF(OR(N(E68)=0,P68=""),"",P68/E68)</f>
        <v/>
      </c>
      <c r="R68" s="12">
        <f>IF(OR(A68="",F68=""),"",IF(IF(L68="",K68,L68)&lt;=F68,"À COMMANDER","OK"))</f>
        <v/>
      </c>
    </row>
    <row r="69">
      <c r="A69" s="15" t="n"/>
      <c r="B69" s="15" t="n"/>
      <c r="C69" s="15" t="n"/>
      <c r="D69" s="17" t="n"/>
      <c r="E69" s="17" t="n"/>
      <c r="F69" s="15" t="n"/>
      <c r="G69" s="15" t="n"/>
      <c r="H69" s="15" t="n"/>
      <c r="I69" s="15" t="n"/>
      <c r="J69" s="15" t="n"/>
      <c r="K69" s="12">
        <f>IF(A69="","",N(G69)+N(H69)-N(I69)-N(J69))</f>
        <v/>
      </c>
      <c r="L69" s="15" t="n"/>
      <c r="M69" s="12">
        <f>IF(L69="","",L69-K69)</f>
        <v/>
      </c>
      <c r="N69" s="7">
        <f>IF(M69="","",M69*N(E69))</f>
        <v/>
      </c>
      <c r="O69" s="7">
        <f>IF(A69="","",IF(L69="",K69,L69)*N(D69))</f>
        <v/>
      </c>
      <c r="P69" s="7">
        <f>IF(OR(D69="",E69=""),"",E69-D69)</f>
        <v/>
      </c>
      <c r="Q69" s="8">
        <f>IF(OR(N(E69)=0,P69=""),"",P69/E69)</f>
        <v/>
      </c>
      <c r="R69" s="12">
        <f>IF(OR(A69="",F69=""),"",IF(IF(L69="",K69,L69)&lt;=F69,"À COMMANDER","OK"))</f>
        <v/>
      </c>
    </row>
    <row r="70">
      <c r="A70" s="15" t="n"/>
      <c r="B70" s="15" t="n"/>
      <c r="C70" s="15" t="n"/>
      <c r="D70" s="17" t="n"/>
      <c r="E70" s="17" t="n"/>
      <c r="F70" s="15" t="n"/>
      <c r="G70" s="15" t="n"/>
      <c r="H70" s="15" t="n"/>
      <c r="I70" s="15" t="n"/>
      <c r="J70" s="15" t="n"/>
      <c r="K70" s="12">
        <f>IF(A70="","",N(G70)+N(H70)-N(I70)-N(J70))</f>
        <v/>
      </c>
      <c r="L70" s="15" t="n"/>
      <c r="M70" s="12">
        <f>IF(L70="","",L70-K70)</f>
        <v/>
      </c>
      <c r="N70" s="7">
        <f>IF(M70="","",M70*N(E70))</f>
        <v/>
      </c>
      <c r="O70" s="7">
        <f>IF(A70="","",IF(L70="",K70,L70)*N(D70))</f>
        <v/>
      </c>
      <c r="P70" s="7">
        <f>IF(OR(D70="",E70=""),"",E70-D70)</f>
        <v/>
      </c>
      <c r="Q70" s="8">
        <f>IF(OR(N(E70)=0,P70=""),"",P70/E70)</f>
        <v/>
      </c>
      <c r="R70" s="12">
        <f>IF(OR(A70="",F70=""),"",IF(IF(L70="",K70,L70)&lt;=F70,"À COMMANDER","OK"))</f>
        <v/>
      </c>
    </row>
    <row r="71">
      <c r="A71" s="15" t="n"/>
      <c r="B71" s="15" t="n"/>
      <c r="C71" s="15" t="n"/>
      <c r="D71" s="17" t="n"/>
      <c r="E71" s="17" t="n"/>
      <c r="F71" s="15" t="n"/>
      <c r="G71" s="15" t="n"/>
      <c r="H71" s="15" t="n"/>
      <c r="I71" s="15" t="n"/>
      <c r="J71" s="15" t="n"/>
      <c r="K71" s="12">
        <f>IF(A71="","",N(G71)+N(H71)-N(I71)-N(J71))</f>
        <v/>
      </c>
      <c r="L71" s="15" t="n"/>
      <c r="M71" s="12">
        <f>IF(L71="","",L71-K71)</f>
        <v/>
      </c>
      <c r="N71" s="7">
        <f>IF(M71="","",M71*N(E71))</f>
        <v/>
      </c>
      <c r="O71" s="7">
        <f>IF(A71="","",IF(L71="",K71,L71)*N(D71))</f>
        <v/>
      </c>
      <c r="P71" s="7">
        <f>IF(OR(D71="",E71=""),"",E71-D71)</f>
        <v/>
      </c>
      <c r="Q71" s="8">
        <f>IF(OR(N(E71)=0,P71=""),"",P71/E71)</f>
        <v/>
      </c>
      <c r="R71" s="12">
        <f>IF(OR(A71="",F71=""),"",IF(IF(L71="",K71,L71)&lt;=F71,"À COMMANDER","OK"))</f>
        <v/>
      </c>
    </row>
    <row r="72">
      <c r="A72" s="15" t="n"/>
      <c r="B72" s="15" t="n"/>
      <c r="C72" s="15" t="n"/>
      <c r="D72" s="17" t="n"/>
      <c r="E72" s="17" t="n"/>
      <c r="F72" s="15" t="n"/>
      <c r="G72" s="15" t="n"/>
      <c r="H72" s="15" t="n"/>
      <c r="I72" s="15" t="n"/>
      <c r="J72" s="15" t="n"/>
      <c r="K72" s="12">
        <f>IF(A72="","",N(G72)+N(H72)-N(I72)-N(J72))</f>
        <v/>
      </c>
      <c r="L72" s="15" t="n"/>
      <c r="M72" s="12">
        <f>IF(L72="","",L72-K72)</f>
        <v/>
      </c>
      <c r="N72" s="7">
        <f>IF(M72="","",M72*N(E72))</f>
        <v/>
      </c>
      <c r="O72" s="7">
        <f>IF(A72="","",IF(L72="",K72,L72)*N(D72))</f>
        <v/>
      </c>
      <c r="P72" s="7">
        <f>IF(OR(D72="",E72=""),"",E72-D72)</f>
        <v/>
      </c>
      <c r="Q72" s="8">
        <f>IF(OR(N(E72)=0,P72=""),"",P72/E72)</f>
        <v/>
      </c>
      <c r="R72" s="12">
        <f>IF(OR(A72="",F72=""),"",IF(IF(L72="",K72,L72)&lt;=F72,"À COMMANDER","OK"))</f>
        <v/>
      </c>
    </row>
    <row r="73">
      <c r="A73" s="15" t="n"/>
      <c r="B73" s="15" t="n"/>
      <c r="C73" s="15" t="n"/>
      <c r="D73" s="17" t="n"/>
      <c r="E73" s="17" t="n"/>
      <c r="F73" s="15" t="n"/>
      <c r="G73" s="15" t="n"/>
      <c r="H73" s="15" t="n"/>
      <c r="I73" s="15" t="n"/>
      <c r="J73" s="15" t="n"/>
      <c r="K73" s="12">
        <f>IF(A73="","",N(G73)+N(H73)-N(I73)-N(J73))</f>
        <v/>
      </c>
      <c r="L73" s="15" t="n"/>
      <c r="M73" s="12">
        <f>IF(L73="","",L73-K73)</f>
        <v/>
      </c>
      <c r="N73" s="7">
        <f>IF(M73="","",M73*N(E73))</f>
        <v/>
      </c>
      <c r="O73" s="7">
        <f>IF(A73="","",IF(L73="",K73,L73)*N(D73))</f>
        <v/>
      </c>
      <c r="P73" s="7">
        <f>IF(OR(D73="",E73=""),"",E73-D73)</f>
        <v/>
      </c>
      <c r="Q73" s="8">
        <f>IF(OR(N(E73)=0,P73=""),"",P73/E73)</f>
        <v/>
      </c>
      <c r="R73" s="12">
        <f>IF(OR(A73="",F73=""),"",IF(IF(L73="",K73,L73)&lt;=F73,"À COMMANDER","OK"))</f>
        <v/>
      </c>
    </row>
    <row r="74">
      <c r="A74" s="15" t="n"/>
      <c r="B74" s="15" t="n"/>
      <c r="C74" s="15" t="n"/>
      <c r="D74" s="17" t="n"/>
      <c r="E74" s="17" t="n"/>
      <c r="F74" s="15" t="n"/>
      <c r="G74" s="15" t="n"/>
      <c r="H74" s="15" t="n"/>
      <c r="I74" s="15" t="n"/>
      <c r="J74" s="15" t="n"/>
      <c r="K74" s="12">
        <f>IF(A74="","",N(G74)+N(H74)-N(I74)-N(J74))</f>
        <v/>
      </c>
      <c r="L74" s="15" t="n"/>
      <c r="M74" s="12">
        <f>IF(L74="","",L74-K74)</f>
        <v/>
      </c>
      <c r="N74" s="7">
        <f>IF(M74="","",M74*N(E74))</f>
        <v/>
      </c>
      <c r="O74" s="7">
        <f>IF(A74="","",IF(L74="",K74,L74)*N(D74))</f>
        <v/>
      </c>
      <c r="P74" s="7">
        <f>IF(OR(D74="",E74=""),"",E74-D74)</f>
        <v/>
      </c>
      <c r="Q74" s="8">
        <f>IF(OR(N(E74)=0,P74=""),"",P74/E74)</f>
        <v/>
      </c>
      <c r="R74" s="12">
        <f>IF(OR(A74="",F74=""),"",IF(IF(L74="",K74,L74)&lt;=F74,"À COMMANDER","OK"))</f>
        <v/>
      </c>
    </row>
    <row r="75">
      <c r="A75" s="15" t="n"/>
      <c r="B75" s="15" t="n"/>
      <c r="C75" s="15" t="n"/>
      <c r="D75" s="17" t="n"/>
      <c r="E75" s="17" t="n"/>
      <c r="F75" s="15" t="n"/>
      <c r="G75" s="15" t="n"/>
      <c r="H75" s="15" t="n"/>
      <c r="I75" s="15" t="n"/>
      <c r="J75" s="15" t="n"/>
      <c r="K75" s="12">
        <f>IF(A75="","",N(G75)+N(H75)-N(I75)-N(J75))</f>
        <v/>
      </c>
      <c r="L75" s="15" t="n"/>
      <c r="M75" s="12">
        <f>IF(L75="","",L75-K75)</f>
        <v/>
      </c>
      <c r="N75" s="7">
        <f>IF(M75="","",M75*N(E75))</f>
        <v/>
      </c>
      <c r="O75" s="7">
        <f>IF(A75="","",IF(L75="",K75,L75)*N(D75))</f>
        <v/>
      </c>
      <c r="P75" s="7">
        <f>IF(OR(D75="",E75=""),"",E75-D75)</f>
        <v/>
      </c>
      <c r="Q75" s="8">
        <f>IF(OR(N(E75)=0,P75=""),"",P75/E75)</f>
        <v/>
      </c>
      <c r="R75" s="12">
        <f>IF(OR(A75="",F75=""),"",IF(IF(L75="",K75,L75)&lt;=F75,"À COMMANDER","OK"))</f>
        <v/>
      </c>
    </row>
    <row r="76">
      <c r="A76" s="15" t="n"/>
      <c r="B76" s="15" t="n"/>
      <c r="C76" s="15" t="n"/>
      <c r="D76" s="17" t="n"/>
      <c r="E76" s="17" t="n"/>
      <c r="F76" s="15" t="n"/>
      <c r="G76" s="15" t="n"/>
      <c r="H76" s="15" t="n"/>
      <c r="I76" s="15" t="n"/>
      <c r="J76" s="15" t="n"/>
      <c r="K76" s="12">
        <f>IF(A76="","",N(G76)+N(H76)-N(I76)-N(J76))</f>
        <v/>
      </c>
      <c r="L76" s="15" t="n"/>
      <c r="M76" s="12">
        <f>IF(L76="","",L76-K76)</f>
        <v/>
      </c>
      <c r="N76" s="7">
        <f>IF(M76="","",M76*N(E76))</f>
        <v/>
      </c>
      <c r="O76" s="7">
        <f>IF(A76="","",IF(L76="",K76,L76)*N(D76))</f>
        <v/>
      </c>
      <c r="P76" s="7">
        <f>IF(OR(D76="",E76=""),"",E76-D76)</f>
        <v/>
      </c>
      <c r="Q76" s="8">
        <f>IF(OR(N(E76)=0,P76=""),"",P76/E76)</f>
        <v/>
      </c>
      <c r="R76" s="12">
        <f>IF(OR(A76="",F76=""),"",IF(IF(L76="",K76,L76)&lt;=F76,"À COMMANDER","OK"))</f>
        <v/>
      </c>
    </row>
    <row r="77">
      <c r="A77" s="15" t="n"/>
      <c r="B77" s="15" t="n"/>
      <c r="C77" s="15" t="n"/>
      <c r="D77" s="17" t="n"/>
      <c r="E77" s="17" t="n"/>
      <c r="F77" s="15" t="n"/>
      <c r="G77" s="15" t="n"/>
      <c r="H77" s="15" t="n"/>
      <c r="I77" s="15" t="n"/>
      <c r="J77" s="15" t="n"/>
      <c r="K77" s="12">
        <f>IF(A77="","",N(G77)+N(H77)-N(I77)-N(J77))</f>
        <v/>
      </c>
      <c r="L77" s="15" t="n"/>
      <c r="M77" s="12">
        <f>IF(L77="","",L77-K77)</f>
        <v/>
      </c>
      <c r="N77" s="7">
        <f>IF(M77="","",M77*N(E77))</f>
        <v/>
      </c>
      <c r="O77" s="7">
        <f>IF(A77="","",IF(L77="",K77,L77)*N(D77))</f>
        <v/>
      </c>
      <c r="P77" s="7">
        <f>IF(OR(D77="",E77=""),"",E77-D77)</f>
        <v/>
      </c>
      <c r="Q77" s="8">
        <f>IF(OR(N(E77)=0,P77=""),"",P77/E77)</f>
        <v/>
      </c>
      <c r="R77" s="12">
        <f>IF(OR(A77="",F77=""),"",IF(IF(L77="",K77,L77)&lt;=F77,"À COMMANDER","OK"))</f>
        <v/>
      </c>
    </row>
    <row r="78">
      <c r="A78" s="15" t="n"/>
      <c r="B78" s="15" t="n"/>
      <c r="C78" s="15" t="n"/>
      <c r="D78" s="17" t="n"/>
      <c r="E78" s="17" t="n"/>
      <c r="F78" s="15" t="n"/>
      <c r="G78" s="15" t="n"/>
      <c r="H78" s="15" t="n"/>
      <c r="I78" s="15" t="n"/>
      <c r="J78" s="15" t="n"/>
      <c r="K78" s="12">
        <f>IF(A78="","",N(G78)+N(H78)-N(I78)-N(J78))</f>
        <v/>
      </c>
      <c r="L78" s="15" t="n"/>
      <c r="M78" s="12">
        <f>IF(L78="","",L78-K78)</f>
        <v/>
      </c>
      <c r="N78" s="7">
        <f>IF(M78="","",M78*N(E78))</f>
        <v/>
      </c>
      <c r="O78" s="7">
        <f>IF(A78="","",IF(L78="",K78,L78)*N(D78))</f>
        <v/>
      </c>
      <c r="P78" s="7">
        <f>IF(OR(D78="",E78=""),"",E78-D78)</f>
        <v/>
      </c>
      <c r="Q78" s="8">
        <f>IF(OR(N(E78)=0,P78=""),"",P78/E78)</f>
        <v/>
      </c>
      <c r="R78" s="12">
        <f>IF(OR(A78="",F78=""),"",IF(IF(L78="",K78,L78)&lt;=F78,"À COMMANDER","OK"))</f>
        <v/>
      </c>
    </row>
    <row r="79">
      <c r="A79" s="15" t="n"/>
      <c r="B79" s="15" t="n"/>
      <c r="C79" s="15" t="n"/>
      <c r="D79" s="17" t="n"/>
      <c r="E79" s="17" t="n"/>
      <c r="F79" s="15" t="n"/>
      <c r="G79" s="15" t="n"/>
      <c r="H79" s="15" t="n"/>
      <c r="I79" s="15" t="n"/>
      <c r="J79" s="15" t="n"/>
      <c r="K79" s="12">
        <f>IF(A79="","",N(G79)+N(H79)-N(I79)-N(J79))</f>
        <v/>
      </c>
      <c r="L79" s="15" t="n"/>
      <c r="M79" s="12">
        <f>IF(L79="","",L79-K79)</f>
        <v/>
      </c>
      <c r="N79" s="7">
        <f>IF(M79="","",M79*N(E79))</f>
        <v/>
      </c>
      <c r="O79" s="7">
        <f>IF(A79="","",IF(L79="",K79,L79)*N(D79))</f>
        <v/>
      </c>
      <c r="P79" s="7">
        <f>IF(OR(D79="",E79=""),"",E79-D79)</f>
        <v/>
      </c>
      <c r="Q79" s="8">
        <f>IF(OR(N(E79)=0,P79=""),"",P79/E79)</f>
        <v/>
      </c>
      <c r="R79" s="12">
        <f>IF(OR(A79="",F79=""),"",IF(IF(L79="",K79,L79)&lt;=F79,"À COMMANDER","OK"))</f>
        <v/>
      </c>
    </row>
    <row r="80">
      <c r="A80" s="15" t="n"/>
      <c r="B80" s="15" t="n"/>
      <c r="C80" s="15" t="n"/>
      <c r="D80" s="17" t="n"/>
      <c r="E80" s="17" t="n"/>
      <c r="F80" s="15" t="n"/>
      <c r="G80" s="15" t="n"/>
      <c r="H80" s="15" t="n"/>
      <c r="I80" s="15" t="n"/>
      <c r="J80" s="15" t="n"/>
      <c r="K80" s="12">
        <f>IF(A80="","",N(G80)+N(H80)-N(I80)-N(J80))</f>
        <v/>
      </c>
      <c r="L80" s="15" t="n"/>
      <c r="M80" s="12">
        <f>IF(L80="","",L80-K80)</f>
        <v/>
      </c>
      <c r="N80" s="7">
        <f>IF(M80="","",M80*N(E80))</f>
        <v/>
      </c>
      <c r="O80" s="7">
        <f>IF(A80="","",IF(L80="",K80,L80)*N(D80))</f>
        <v/>
      </c>
      <c r="P80" s="7">
        <f>IF(OR(D80="",E80=""),"",E80-D80)</f>
        <v/>
      </c>
      <c r="Q80" s="8">
        <f>IF(OR(N(E80)=0,P80=""),"",P80/E80)</f>
        <v/>
      </c>
      <c r="R80" s="12">
        <f>IF(OR(A80="",F80=""),"",IF(IF(L80="",K80,L80)&lt;=F80,"À COMMANDER","OK"))</f>
        <v/>
      </c>
    </row>
    <row r="81">
      <c r="A81" s="15" t="n"/>
      <c r="B81" s="15" t="n"/>
      <c r="C81" s="15" t="n"/>
      <c r="D81" s="17" t="n"/>
      <c r="E81" s="17" t="n"/>
      <c r="F81" s="15" t="n"/>
      <c r="G81" s="15" t="n"/>
      <c r="H81" s="15" t="n"/>
      <c r="I81" s="15" t="n"/>
      <c r="J81" s="15" t="n"/>
      <c r="K81" s="12">
        <f>IF(A81="","",N(G81)+N(H81)-N(I81)-N(J81))</f>
        <v/>
      </c>
      <c r="L81" s="15" t="n"/>
      <c r="M81" s="12">
        <f>IF(L81="","",L81-K81)</f>
        <v/>
      </c>
      <c r="N81" s="7">
        <f>IF(M81="","",M81*N(E81))</f>
        <v/>
      </c>
      <c r="O81" s="7">
        <f>IF(A81="","",IF(L81="",K81,L81)*N(D81))</f>
        <v/>
      </c>
      <c r="P81" s="7">
        <f>IF(OR(D81="",E81=""),"",E81-D81)</f>
        <v/>
      </c>
      <c r="Q81" s="8">
        <f>IF(OR(N(E81)=0,P81=""),"",P81/E81)</f>
        <v/>
      </c>
      <c r="R81" s="12">
        <f>IF(OR(A81="",F81=""),"",IF(IF(L81="",K81,L81)&lt;=F81,"À COMMANDER","OK"))</f>
        <v/>
      </c>
    </row>
    <row r="82">
      <c r="A82" s="15" t="n"/>
      <c r="B82" s="15" t="n"/>
      <c r="C82" s="15" t="n"/>
      <c r="D82" s="17" t="n"/>
      <c r="E82" s="17" t="n"/>
      <c r="F82" s="15" t="n"/>
      <c r="G82" s="15" t="n"/>
      <c r="H82" s="15" t="n"/>
      <c r="I82" s="15" t="n"/>
      <c r="J82" s="15" t="n"/>
      <c r="K82" s="12">
        <f>IF(A82="","",N(G82)+N(H82)-N(I82)-N(J82))</f>
        <v/>
      </c>
      <c r="L82" s="15" t="n"/>
      <c r="M82" s="12">
        <f>IF(L82="","",L82-K82)</f>
        <v/>
      </c>
      <c r="N82" s="7">
        <f>IF(M82="","",M82*N(E82))</f>
        <v/>
      </c>
      <c r="O82" s="7">
        <f>IF(A82="","",IF(L82="",K82,L82)*N(D82))</f>
        <v/>
      </c>
      <c r="P82" s="7">
        <f>IF(OR(D82="",E82=""),"",E82-D82)</f>
        <v/>
      </c>
      <c r="Q82" s="8">
        <f>IF(OR(N(E82)=0,P82=""),"",P82/E82)</f>
        <v/>
      </c>
      <c r="R82" s="12">
        <f>IF(OR(A82="",F82=""),"",IF(IF(L82="",K82,L82)&lt;=F82,"À COMMANDER","OK"))</f>
        <v/>
      </c>
    </row>
    <row r="83">
      <c r="A83" s="15" t="n"/>
      <c r="B83" s="15" t="n"/>
      <c r="C83" s="15" t="n"/>
      <c r="D83" s="17" t="n"/>
      <c r="E83" s="17" t="n"/>
      <c r="F83" s="15" t="n"/>
      <c r="G83" s="15" t="n"/>
      <c r="H83" s="15" t="n"/>
      <c r="I83" s="15" t="n"/>
      <c r="J83" s="15" t="n"/>
      <c r="K83" s="12">
        <f>IF(A83="","",N(G83)+N(H83)-N(I83)-N(J83))</f>
        <v/>
      </c>
      <c r="L83" s="15" t="n"/>
      <c r="M83" s="12">
        <f>IF(L83="","",L83-K83)</f>
        <v/>
      </c>
      <c r="N83" s="7">
        <f>IF(M83="","",M83*N(E83))</f>
        <v/>
      </c>
      <c r="O83" s="7">
        <f>IF(A83="","",IF(L83="",K83,L83)*N(D83))</f>
        <v/>
      </c>
      <c r="P83" s="7">
        <f>IF(OR(D83="",E83=""),"",E83-D83)</f>
        <v/>
      </c>
      <c r="Q83" s="8">
        <f>IF(OR(N(E83)=0,P83=""),"",P83/E83)</f>
        <v/>
      </c>
      <c r="R83" s="12">
        <f>IF(OR(A83="",F83=""),"",IF(IF(L83="",K83,L83)&lt;=F83,"À COMMANDER","OK"))</f>
        <v/>
      </c>
    </row>
    <row r="84">
      <c r="A84" s="15" t="n"/>
      <c r="B84" s="15" t="n"/>
      <c r="C84" s="15" t="n"/>
      <c r="D84" s="17" t="n"/>
      <c r="E84" s="17" t="n"/>
      <c r="F84" s="15" t="n"/>
      <c r="G84" s="15" t="n"/>
      <c r="H84" s="15" t="n"/>
      <c r="I84" s="15" t="n"/>
      <c r="J84" s="15" t="n"/>
      <c r="K84" s="12">
        <f>IF(A84="","",N(G84)+N(H84)-N(I84)-N(J84))</f>
        <v/>
      </c>
      <c r="L84" s="15" t="n"/>
      <c r="M84" s="12">
        <f>IF(L84="","",L84-K84)</f>
        <v/>
      </c>
      <c r="N84" s="7">
        <f>IF(M84="","",M84*N(E84))</f>
        <v/>
      </c>
      <c r="O84" s="7">
        <f>IF(A84="","",IF(L84="",K84,L84)*N(D84))</f>
        <v/>
      </c>
      <c r="P84" s="7">
        <f>IF(OR(D84="",E84=""),"",E84-D84)</f>
        <v/>
      </c>
      <c r="Q84" s="8">
        <f>IF(OR(N(E84)=0,P84=""),"",P84/E84)</f>
        <v/>
      </c>
      <c r="R84" s="12">
        <f>IF(OR(A84="",F84=""),"",IF(IF(L84="",K84,L84)&lt;=F84,"À COMMANDER","OK"))</f>
        <v/>
      </c>
    </row>
    <row r="85">
      <c r="A85" s="15" t="n"/>
      <c r="B85" s="15" t="n"/>
      <c r="C85" s="15" t="n"/>
      <c r="D85" s="17" t="n"/>
      <c r="E85" s="17" t="n"/>
      <c r="F85" s="15" t="n"/>
      <c r="G85" s="15" t="n"/>
      <c r="H85" s="15" t="n"/>
      <c r="I85" s="15" t="n"/>
      <c r="J85" s="15" t="n"/>
      <c r="K85" s="12">
        <f>IF(A85="","",N(G85)+N(H85)-N(I85)-N(J85))</f>
        <v/>
      </c>
      <c r="L85" s="15" t="n"/>
      <c r="M85" s="12">
        <f>IF(L85="","",L85-K85)</f>
        <v/>
      </c>
      <c r="N85" s="7">
        <f>IF(M85="","",M85*N(E85))</f>
        <v/>
      </c>
      <c r="O85" s="7">
        <f>IF(A85="","",IF(L85="",K85,L85)*N(D85))</f>
        <v/>
      </c>
      <c r="P85" s="7">
        <f>IF(OR(D85="",E85=""),"",E85-D85)</f>
        <v/>
      </c>
      <c r="Q85" s="8">
        <f>IF(OR(N(E85)=0,P85=""),"",P85/E85)</f>
        <v/>
      </c>
      <c r="R85" s="12">
        <f>IF(OR(A85="",F85=""),"",IF(IF(L85="",K85,L85)&lt;=F85,"À COMMANDER","OK"))</f>
        <v/>
      </c>
    </row>
    <row r="86">
      <c r="A86" s="15" t="n"/>
      <c r="B86" s="15" t="n"/>
      <c r="C86" s="15" t="n"/>
      <c r="D86" s="17" t="n"/>
      <c r="E86" s="17" t="n"/>
      <c r="F86" s="15" t="n"/>
      <c r="G86" s="15" t="n"/>
      <c r="H86" s="15" t="n"/>
      <c r="I86" s="15" t="n"/>
      <c r="J86" s="15" t="n"/>
      <c r="K86" s="12">
        <f>IF(A86="","",N(G86)+N(H86)-N(I86)-N(J86))</f>
        <v/>
      </c>
      <c r="L86" s="15" t="n"/>
      <c r="M86" s="12">
        <f>IF(L86="","",L86-K86)</f>
        <v/>
      </c>
      <c r="N86" s="7">
        <f>IF(M86="","",M86*N(E86))</f>
        <v/>
      </c>
      <c r="O86" s="7">
        <f>IF(A86="","",IF(L86="",K86,L86)*N(D86))</f>
        <v/>
      </c>
      <c r="P86" s="7">
        <f>IF(OR(D86="",E86=""),"",E86-D86)</f>
        <v/>
      </c>
      <c r="Q86" s="8">
        <f>IF(OR(N(E86)=0,P86=""),"",P86/E86)</f>
        <v/>
      </c>
      <c r="R86" s="12">
        <f>IF(OR(A86="",F86=""),"",IF(IF(L86="",K86,L86)&lt;=F86,"À COMMANDER","OK"))</f>
        <v/>
      </c>
    </row>
    <row r="87">
      <c r="A87" s="15" t="n"/>
      <c r="B87" s="15" t="n"/>
      <c r="C87" s="15" t="n"/>
      <c r="D87" s="17" t="n"/>
      <c r="E87" s="17" t="n"/>
      <c r="F87" s="15" t="n"/>
      <c r="G87" s="15" t="n"/>
      <c r="H87" s="15" t="n"/>
      <c r="I87" s="15" t="n"/>
      <c r="J87" s="15" t="n"/>
      <c r="K87" s="12">
        <f>IF(A87="","",N(G87)+N(H87)-N(I87)-N(J87))</f>
        <v/>
      </c>
      <c r="L87" s="15" t="n"/>
      <c r="M87" s="12">
        <f>IF(L87="","",L87-K87)</f>
        <v/>
      </c>
      <c r="N87" s="7">
        <f>IF(M87="","",M87*N(E87))</f>
        <v/>
      </c>
      <c r="O87" s="7">
        <f>IF(A87="","",IF(L87="",K87,L87)*N(D87))</f>
        <v/>
      </c>
      <c r="P87" s="7">
        <f>IF(OR(D87="",E87=""),"",E87-D87)</f>
        <v/>
      </c>
      <c r="Q87" s="8">
        <f>IF(OR(N(E87)=0,P87=""),"",P87/E87)</f>
        <v/>
      </c>
      <c r="R87" s="12">
        <f>IF(OR(A87="",F87=""),"",IF(IF(L87="",K87,L87)&lt;=F87,"À COMMANDER","OK"))</f>
        <v/>
      </c>
    </row>
    <row r="88">
      <c r="A88" s="15" t="n"/>
      <c r="B88" s="15" t="n"/>
      <c r="C88" s="15" t="n"/>
      <c r="D88" s="17" t="n"/>
      <c r="E88" s="17" t="n"/>
      <c r="F88" s="15" t="n"/>
      <c r="G88" s="15" t="n"/>
      <c r="H88" s="15" t="n"/>
      <c r="I88" s="15" t="n"/>
      <c r="J88" s="15" t="n"/>
      <c r="K88" s="12">
        <f>IF(A88="","",N(G88)+N(H88)-N(I88)-N(J88))</f>
        <v/>
      </c>
      <c r="L88" s="15" t="n"/>
      <c r="M88" s="12">
        <f>IF(L88="","",L88-K88)</f>
        <v/>
      </c>
      <c r="N88" s="7">
        <f>IF(M88="","",M88*N(E88))</f>
        <v/>
      </c>
      <c r="O88" s="7">
        <f>IF(A88="","",IF(L88="",K88,L88)*N(D88))</f>
        <v/>
      </c>
      <c r="P88" s="7">
        <f>IF(OR(D88="",E88=""),"",E88-D88)</f>
        <v/>
      </c>
      <c r="Q88" s="8">
        <f>IF(OR(N(E88)=0,P88=""),"",P88/E88)</f>
        <v/>
      </c>
      <c r="R88" s="12">
        <f>IF(OR(A88="",F88=""),"",IF(IF(L88="",K88,L88)&lt;=F88,"À COMMANDER","OK"))</f>
        <v/>
      </c>
    </row>
    <row r="89">
      <c r="A89" s="15" t="n"/>
      <c r="B89" s="15" t="n"/>
      <c r="C89" s="15" t="n"/>
      <c r="D89" s="17" t="n"/>
      <c r="E89" s="17" t="n"/>
      <c r="F89" s="15" t="n"/>
      <c r="G89" s="15" t="n"/>
      <c r="H89" s="15" t="n"/>
      <c r="I89" s="15" t="n"/>
      <c r="J89" s="15" t="n"/>
      <c r="K89" s="12">
        <f>IF(A89="","",N(G89)+N(H89)-N(I89)-N(J89))</f>
        <v/>
      </c>
      <c r="L89" s="15" t="n"/>
      <c r="M89" s="12">
        <f>IF(L89="","",L89-K89)</f>
        <v/>
      </c>
      <c r="N89" s="7">
        <f>IF(M89="","",M89*N(E89))</f>
        <v/>
      </c>
      <c r="O89" s="7">
        <f>IF(A89="","",IF(L89="",K89,L89)*N(D89))</f>
        <v/>
      </c>
      <c r="P89" s="7">
        <f>IF(OR(D89="",E89=""),"",E89-D89)</f>
        <v/>
      </c>
      <c r="Q89" s="8">
        <f>IF(OR(N(E89)=0,P89=""),"",P89/E89)</f>
        <v/>
      </c>
      <c r="R89" s="12">
        <f>IF(OR(A89="",F89=""),"",IF(IF(L89="",K89,L89)&lt;=F89,"À COMMANDER","OK"))</f>
        <v/>
      </c>
    </row>
    <row r="90">
      <c r="A90" s="15" t="n"/>
      <c r="B90" s="15" t="n"/>
      <c r="C90" s="15" t="n"/>
      <c r="D90" s="17" t="n"/>
      <c r="E90" s="17" t="n"/>
      <c r="F90" s="15" t="n"/>
      <c r="G90" s="15" t="n"/>
      <c r="H90" s="15" t="n"/>
      <c r="I90" s="15" t="n"/>
      <c r="J90" s="15" t="n"/>
      <c r="K90" s="12">
        <f>IF(A90="","",N(G90)+N(H90)-N(I90)-N(J90))</f>
        <v/>
      </c>
      <c r="L90" s="15" t="n"/>
      <c r="M90" s="12">
        <f>IF(L90="","",L90-K90)</f>
        <v/>
      </c>
      <c r="N90" s="7">
        <f>IF(M90="","",M90*N(E90))</f>
        <v/>
      </c>
      <c r="O90" s="7">
        <f>IF(A90="","",IF(L90="",K90,L90)*N(D90))</f>
        <v/>
      </c>
      <c r="P90" s="7">
        <f>IF(OR(D90="",E90=""),"",E90-D90)</f>
        <v/>
      </c>
      <c r="Q90" s="8">
        <f>IF(OR(N(E90)=0,P90=""),"",P90/E90)</f>
        <v/>
      </c>
      <c r="R90" s="12">
        <f>IF(OR(A90="",F90=""),"",IF(IF(L90="",K90,L90)&lt;=F90,"À COMMANDER","OK"))</f>
        <v/>
      </c>
    </row>
    <row r="91">
      <c r="A91" s="15" t="n"/>
      <c r="B91" s="15" t="n"/>
      <c r="C91" s="15" t="n"/>
      <c r="D91" s="17" t="n"/>
      <c r="E91" s="17" t="n"/>
      <c r="F91" s="15" t="n"/>
      <c r="G91" s="15" t="n"/>
      <c r="H91" s="15" t="n"/>
      <c r="I91" s="15" t="n"/>
      <c r="J91" s="15" t="n"/>
      <c r="K91" s="12">
        <f>IF(A91="","",N(G91)+N(H91)-N(I91)-N(J91))</f>
        <v/>
      </c>
      <c r="L91" s="15" t="n"/>
      <c r="M91" s="12">
        <f>IF(L91="","",L91-K91)</f>
        <v/>
      </c>
      <c r="N91" s="7">
        <f>IF(M91="","",M91*N(E91))</f>
        <v/>
      </c>
      <c r="O91" s="7">
        <f>IF(A91="","",IF(L91="",K91,L91)*N(D91))</f>
        <v/>
      </c>
      <c r="P91" s="7">
        <f>IF(OR(D91="",E91=""),"",E91-D91)</f>
        <v/>
      </c>
      <c r="Q91" s="8">
        <f>IF(OR(N(E91)=0,P91=""),"",P91/E91)</f>
        <v/>
      </c>
      <c r="R91" s="12">
        <f>IF(OR(A91="",F91=""),"",IF(IF(L91="",K91,L91)&lt;=F91,"À COMMANDER","OK"))</f>
        <v/>
      </c>
    </row>
    <row r="92">
      <c r="A92" s="15" t="n"/>
      <c r="B92" s="15" t="n"/>
      <c r="C92" s="15" t="n"/>
      <c r="D92" s="17" t="n"/>
      <c r="E92" s="17" t="n"/>
      <c r="F92" s="15" t="n"/>
      <c r="G92" s="15" t="n"/>
      <c r="H92" s="15" t="n"/>
      <c r="I92" s="15" t="n"/>
      <c r="J92" s="15" t="n"/>
      <c r="K92" s="12">
        <f>IF(A92="","",N(G92)+N(H92)-N(I92)-N(J92))</f>
        <v/>
      </c>
      <c r="L92" s="15" t="n"/>
      <c r="M92" s="12">
        <f>IF(L92="","",L92-K92)</f>
        <v/>
      </c>
      <c r="N92" s="7">
        <f>IF(M92="","",M92*N(E92))</f>
        <v/>
      </c>
      <c r="O92" s="7">
        <f>IF(A92="","",IF(L92="",K92,L92)*N(D92))</f>
        <v/>
      </c>
      <c r="P92" s="7">
        <f>IF(OR(D92="",E92=""),"",E92-D92)</f>
        <v/>
      </c>
      <c r="Q92" s="8">
        <f>IF(OR(N(E92)=0,P92=""),"",P92/E92)</f>
        <v/>
      </c>
      <c r="R92" s="12">
        <f>IF(OR(A92="",F92=""),"",IF(IF(L92="",K92,L92)&lt;=F92,"À COMMANDER","OK"))</f>
        <v/>
      </c>
    </row>
    <row r="93">
      <c r="A93" s="15" t="n"/>
      <c r="B93" s="15" t="n"/>
      <c r="C93" s="15" t="n"/>
      <c r="D93" s="17" t="n"/>
      <c r="E93" s="17" t="n"/>
      <c r="F93" s="15" t="n"/>
      <c r="G93" s="15" t="n"/>
      <c r="H93" s="15" t="n"/>
      <c r="I93" s="15" t="n"/>
      <c r="J93" s="15" t="n"/>
      <c r="K93" s="12">
        <f>IF(A93="","",N(G93)+N(H93)-N(I93)-N(J93))</f>
        <v/>
      </c>
      <c r="L93" s="15" t="n"/>
      <c r="M93" s="12">
        <f>IF(L93="","",L93-K93)</f>
        <v/>
      </c>
      <c r="N93" s="7">
        <f>IF(M93="","",M93*N(E93))</f>
        <v/>
      </c>
      <c r="O93" s="7">
        <f>IF(A93="","",IF(L93="",K93,L93)*N(D93))</f>
        <v/>
      </c>
      <c r="P93" s="7">
        <f>IF(OR(D93="",E93=""),"",E93-D93)</f>
        <v/>
      </c>
      <c r="Q93" s="8">
        <f>IF(OR(N(E93)=0,P93=""),"",P93/E93)</f>
        <v/>
      </c>
      <c r="R93" s="12">
        <f>IF(OR(A93="",F93=""),"",IF(IF(L93="",K93,L93)&lt;=F93,"À COMMANDER","OK"))</f>
        <v/>
      </c>
    </row>
    <row r="94">
      <c r="A94" s="15" t="n"/>
      <c r="B94" s="15" t="n"/>
      <c r="C94" s="15" t="n"/>
      <c r="D94" s="17" t="n"/>
      <c r="E94" s="17" t="n"/>
      <c r="F94" s="15" t="n"/>
      <c r="G94" s="15" t="n"/>
      <c r="H94" s="15" t="n"/>
      <c r="I94" s="15" t="n"/>
      <c r="J94" s="15" t="n"/>
      <c r="K94" s="12">
        <f>IF(A94="","",N(G94)+N(H94)-N(I94)-N(J94))</f>
        <v/>
      </c>
      <c r="L94" s="15" t="n"/>
      <c r="M94" s="12">
        <f>IF(L94="","",L94-K94)</f>
        <v/>
      </c>
      <c r="N94" s="7">
        <f>IF(M94="","",M94*N(E94))</f>
        <v/>
      </c>
      <c r="O94" s="7">
        <f>IF(A94="","",IF(L94="",K94,L94)*N(D94))</f>
        <v/>
      </c>
      <c r="P94" s="7">
        <f>IF(OR(D94="",E94=""),"",E94-D94)</f>
        <v/>
      </c>
      <c r="Q94" s="8">
        <f>IF(OR(N(E94)=0,P94=""),"",P94/E94)</f>
        <v/>
      </c>
      <c r="R94" s="12">
        <f>IF(OR(A94="",F94=""),"",IF(IF(L94="",K94,L94)&lt;=F94,"À COMMANDER","OK"))</f>
        <v/>
      </c>
    </row>
    <row r="95">
      <c r="A95" s="15" t="n"/>
      <c r="B95" s="15" t="n"/>
      <c r="C95" s="15" t="n"/>
      <c r="D95" s="17" t="n"/>
      <c r="E95" s="17" t="n"/>
      <c r="F95" s="15" t="n"/>
      <c r="G95" s="15" t="n"/>
      <c r="H95" s="15" t="n"/>
      <c r="I95" s="15" t="n"/>
      <c r="J95" s="15" t="n"/>
      <c r="K95" s="12">
        <f>IF(A95="","",N(G95)+N(H95)-N(I95)-N(J95))</f>
        <v/>
      </c>
      <c r="L95" s="15" t="n"/>
      <c r="M95" s="12">
        <f>IF(L95="","",L95-K95)</f>
        <v/>
      </c>
      <c r="N95" s="7">
        <f>IF(M95="","",M95*N(E95))</f>
        <v/>
      </c>
      <c r="O95" s="7">
        <f>IF(A95="","",IF(L95="",K95,L95)*N(D95))</f>
        <v/>
      </c>
      <c r="P95" s="7">
        <f>IF(OR(D95="",E95=""),"",E95-D95)</f>
        <v/>
      </c>
      <c r="Q95" s="8">
        <f>IF(OR(N(E95)=0,P95=""),"",P95/E95)</f>
        <v/>
      </c>
      <c r="R95" s="12">
        <f>IF(OR(A95="",F95=""),"",IF(IF(L95="",K95,L95)&lt;=F95,"À COMMANDER","OK"))</f>
        <v/>
      </c>
    </row>
    <row r="96">
      <c r="A96" s="15" t="n"/>
      <c r="B96" s="15" t="n"/>
      <c r="C96" s="15" t="n"/>
      <c r="D96" s="17" t="n"/>
      <c r="E96" s="17" t="n"/>
      <c r="F96" s="15" t="n"/>
      <c r="G96" s="15" t="n"/>
      <c r="H96" s="15" t="n"/>
      <c r="I96" s="15" t="n"/>
      <c r="J96" s="15" t="n"/>
      <c r="K96" s="12">
        <f>IF(A96="","",N(G96)+N(H96)-N(I96)-N(J96))</f>
        <v/>
      </c>
      <c r="L96" s="15" t="n"/>
      <c r="M96" s="12">
        <f>IF(L96="","",L96-K96)</f>
        <v/>
      </c>
      <c r="N96" s="7">
        <f>IF(M96="","",M96*N(E96))</f>
        <v/>
      </c>
      <c r="O96" s="7">
        <f>IF(A96="","",IF(L96="",K96,L96)*N(D96))</f>
        <v/>
      </c>
      <c r="P96" s="7">
        <f>IF(OR(D96="",E96=""),"",E96-D96)</f>
        <v/>
      </c>
      <c r="Q96" s="8">
        <f>IF(OR(N(E96)=0,P96=""),"",P96/E96)</f>
        <v/>
      </c>
      <c r="R96" s="12">
        <f>IF(OR(A96="",F96=""),"",IF(IF(L96="",K96,L96)&lt;=F96,"À COMMANDER","OK"))</f>
        <v/>
      </c>
    </row>
    <row r="97">
      <c r="A97" s="15" t="n"/>
      <c r="B97" s="15" t="n"/>
      <c r="C97" s="15" t="n"/>
      <c r="D97" s="17" t="n"/>
      <c r="E97" s="17" t="n"/>
      <c r="F97" s="15" t="n"/>
      <c r="G97" s="15" t="n"/>
      <c r="H97" s="15" t="n"/>
      <c r="I97" s="15" t="n"/>
      <c r="J97" s="15" t="n"/>
      <c r="K97" s="12">
        <f>IF(A97="","",N(G97)+N(H97)-N(I97)-N(J97))</f>
        <v/>
      </c>
      <c r="L97" s="15" t="n"/>
      <c r="M97" s="12">
        <f>IF(L97="","",L97-K97)</f>
        <v/>
      </c>
      <c r="N97" s="7">
        <f>IF(M97="","",M97*N(E97))</f>
        <v/>
      </c>
      <c r="O97" s="7">
        <f>IF(A97="","",IF(L97="",K97,L97)*N(D97))</f>
        <v/>
      </c>
      <c r="P97" s="7">
        <f>IF(OR(D97="",E97=""),"",E97-D97)</f>
        <v/>
      </c>
      <c r="Q97" s="8">
        <f>IF(OR(N(E97)=0,P97=""),"",P97/E97)</f>
        <v/>
      </c>
      <c r="R97" s="12">
        <f>IF(OR(A97="",F97=""),"",IF(IF(L97="",K97,L97)&lt;=F97,"À COMMANDER","OK"))</f>
        <v/>
      </c>
    </row>
    <row r="98">
      <c r="A98" s="15" t="n"/>
      <c r="B98" s="15" t="n"/>
      <c r="C98" s="15" t="n"/>
      <c r="D98" s="17" t="n"/>
      <c r="E98" s="17" t="n"/>
      <c r="F98" s="15" t="n"/>
      <c r="G98" s="15" t="n"/>
      <c r="H98" s="15" t="n"/>
      <c r="I98" s="15" t="n"/>
      <c r="J98" s="15" t="n"/>
      <c r="K98" s="12">
        <f>IF(A98="","",N(G98)+N(H98)-N(I98)-N(J98))</f>
        <v/>
      </c>
      <c r="L98" s="15" t="n"/>
      <c r="M98" s="12">
        <f>IF(L98="","",L98-K98)</f>
        <v/>
      </c>
      <c r="N98" s="7">
        <f>IF(M98="","",M98*N(E98))</f>
        <v/>
      </c>
      <c r="O98" s="7">
        <f>IF(A98="","",IF(L98="",K98,L98)*N(D98))</f>
        <v/>
      </c>
      <c r="P98" s="7">
        <f>IF(OR(D98="",E98=""),"",E98-D98)</f>
        <v/>
      </c>
      <c r="Q98" s="8">
        <f>IF(OR(N(E98)=0,P98=""),"",P98/E98)</f>
        <v/>
      </c>
      <c r="R98" s="12">
        <f>IF(OR(A98="",F98=""),"",IF(IF(L98="",K98,L98)&lt;=F98,"À COMMANDER","OK"))</f>
        <v/>
      </c>
    </row>
    <row r="99">
      <c r="A99" s="15" t="n"/>
      <c r="B99" s="15" t="n"/>
      <c r="C99" s="15" t="n"/>
      <c r="D99" s="17" t="n"/>
      <c r="E99" s="17" t="n"/>
      <c r="F99" s="15" t="n"/>
      <c r="G99" s="15" t="n"/>
      <c r="H99" s="15" t="n"/>
      <c r="I99" s="15" t="n"/>
      <c r="J99" s="15" t="n"/>
      <c r="K99" s="12">
        <f>IF(A99="","",N(G99)+N(H99)-N(I99)-N(J99))</f>
        <v/>
      </c>
      <c r="L99" s="15" t="n"/>
      <c r="M99" s="12">
        <f>IF(L99="","",L99-K99)</f>
        <v/>
      </c>
      <c r="N99" s="7">
        <f>IF(M99="","",M99*N(E99))</f>
        <v/>
      </c>
      <c r="O99" s="7">
        <f>IF(A99="","",IF(L99="",K99,L99)*N(D99))</f>
        <v/>
      </c>
      <c r="P99" s="7">
        <f>IF(OR(D99="",E99=""),"",E99-D99)</f>
        <v/>
      </c>
      <c r="Q99" s="8">
        <f>IF(OR(N(E99)=0,P99=""),"",P99/E99)</f>
        <v/>
      </c>
      <c r="R99" s="12">
        <f>IF(OR(A99="",F99=""),"",IF(IF(L99="",K99,L99)&lt;=F99,"À COMMANDER","OK"))</f>
        <v/>
      </c>
    </row>
    <row r="100">
      <c r="A100" s="15" t="n"/>
      <c r="B100" s="15" t="n"/>
      <c r="C100" s="15" t="n"/>
      <c r="D100" s="17" t="n"/>
      <c r="E100" s="17" t="n"/>
      <c r="F100" s="15" t="n"/>
      <c r="G100" s="15" t="n"/>
      <c r="H100" s="15" t="n"/>
      <c r="I100" s="15" t="n"/>
      <c r="J100" s="15" t="n"/>
      <c r="K100" s="12">
        <f>IF(A100="","",N(G100)+N(H100)-N(I100)-N(J100))</f>
        <v/>
      </c>
      <c r="L100" s="15" t="n"/>
      <c r="M100" s="12">
        <f>IF(L100="","",L100-K100)</f>
        <v/>
      </c>
      <c r="N100" s="7">
        <f>IF(M100="","",M100*N(E100))</f>
        <v/>
      </c>
      <c r="O100" s="7">
        <f>IF(A100="","",IF(L100="",K100,L100)*N(D100))</f>
        <v/>
      </c>
      <c r="P100" s="7">
        <f>IF(OR(D100="",E100=""),"",E100-D100)</f>
        <v/>
      </c>
      <c r="Q100" s="8">
        <f>IF(OR(N(E100)=0,P100=""),"",P100/E100)</f>
        <v/>
      </c>
      <c r="R100" s="12">
        <f>IF(OR(A100="",F100=""),"",IF(IF(L100="",K100,L100)&lt;=F100,"À COMMANDER","OK"))</f>
        <v/>
      </c>
    </row>
    <row r="101">
      <c r="A101" s="15" t="n"/>
      <c r="B101" s="15" t="n"/>
      <c r="C101" s="15" t="n"/>
      <c r="D101" s="17" t="n"/>
      <c r="E101" s="17" t="n"/>
      <c r="F101" s="15" t="n"/>
      <c r="G101" s="15" t="n"/>
      <c r="H101" s="15" t="n"/>
      <c r="I101" s="15" t="n"/>
      <c r="J101" s="15" t="n"/>
      <c r="K101" s="12">
        <f>IF(A101="","",N(G101)+N(H101)-N(I101)-N(J101))</f>
        <v/>
      </c>
      <c r="L101" s="15" t="n"/>
      <c r="M101" s="12">
        <f>IF(L101="","",L101-K101)</f>
        <v/>
      </c>
      <c r="N101" s="7">
        <f>IF(M101="","",M101*N(E101))</f>
        <v/>
      </c>
      <c r="O101" s="7">
        <f>IF(A101="","",IF(L101="",K101,L101)*N(D101))</f>
        <v/>
      </c>
      <c r="P101" s="7">
        <f>IF(OR(D101="",E101=""),"",E101-D101)</f>
        <v/>
      </c>
      <c r="Q101" s="8">
        <f>IF(OR(N(E101)=0,P101=""),"",P101/E101)</f>
        <v/>
      </c>
      <c r="R101" s="12">
        <f>IF(OR(A101="",F101=""),"",IF(IF(L101="",K101,L101)&lt;=F101,"À COMMANDER","OK"))</f>
        <v/>
      </c>
    </row>
    <row r="102">
      <c r="A102" s="15" t="n"/>
      <c r="B102" s="15" t="n"/>
      <c r="C102" s="15" t="n"/>
      <c r="D102" s="17" t="n"/>
      <c r="E102" s="17" t="n"/>
      <c r="F102" s="15" t="n"/>
      <c r="G102" s="15" t="n"/>
      <c r="H102" s="15" t="n"/>
      <c r="I102" s="15" t="n"/>
      <c r="J102" s="15" t="n"/>
      <c r="K102" s="12">
        <f>IF(A102="","",N(G102)+N(H102)-N(I102)-N(J102))</f>
        <v/>
      </c>
      <c r="L102" s="15" t="n"/>
      <c r="M102" s="12">
        <f>IF(L102="","",L102-K102)</f>
        <v/>
      </c>
      <c r="N102" s="7">
        <f>IF(M102="","",M102*N(E102))</f>
        <v/>
      </c>
      <c r="O102" s="7">
        <f>IF(A102="","",IF(L102="",K102,L102)*N(D102))</f>
        <v/>
      </c>
      <c r="P102" s="7">
        <f>IF(OR(D102="",E102=""),"",E102-D102)</f>
        <v/>
      </c>
      <c r="Q102" s="8">
        <f>IF(OR(N(E102)=0,P102=""),"",P102/E102)</f>
        <v/>
      </c>
      <c r="R102" s="12">
        <f>IF(OR(A102="",F102=""),"",IF(IF(L102="",K102,L102)&lt;=F102,"À COMMANDER","OK"))</f>
        <v/>
      </c>
    </row>
    <row r="103">
      <c r="A103" s="15" t="n"/>
      <c r="B103" s="15" t="n"/>
      <c r="C103" s="15" t="n"/>
      <c r="D103" s="17" t="n"/>
      <c r="E103" s="17" t="n"/>
      <c r="F103" s="15" t="n"/>
      <c r="G103" s="15" t="n"/>
      <c r="H103" s="15" t="n"/>
      <c r="I103" s="15" t="n"/>
      <c r="J103" s="15" t="n"/>
      <c r="K103" s="12">
        <f>IF(A103="","",N(G103)+N(H103)-N(I103)-N(J103))</f>
        <v/>
      </c>
      <c r="L103" s="15" t="n"/>
      <c r="M103" s="12">
        <f>IF(L103="","",L103-K103)</f>
        <v/>
      </c>
      <c r="N103" s="7">
        <f>IF(M103="","",M103*N(E103))</f>
        <v/>
      </c>
      <c r="O103" s="7">
        <f>IF(A103="","",IF(L103="",K103,L103)*N(D103))</f>
        <v/>
      </c>
      <c r="P103" s="7">
        <f>IF(OR(D103="",E103=""),"",E103-D103)</f>
        <v/>
      </c>
      <c r="Q103" s="8">
        <f>IF(OR(N(E103)=0,P103=""),"",P103/E103)</f>
        <v/>
      </c>
      <c r="R103" s="12">
        <f>IF(OR(A103="",F103=""),"",IF(IF(L103="",K103,L103)&lt;=F103,"À COMMANDER","OK"))</f>
        <v/>
      </c>
    </row>
    <row r="104">
      <c r="A104" s="15" t="n"/>
      <c r="B104" s="15" t="n"/>
      <c r="C104" s="15" t="n"/>
      <c r="D104" s="17" t="n"/>
      <c r="E104" s="17" t="n"/>
      <c r="F104" s="15" t="n"/>
      <c r="G104" s="15" t="n"/>
      <c r="H104" s="15" t="n"/>
      <c r="I104" s="15" t="n"/>
      <c r="J104" s="15" t="n"/>
      <c r="K104" s="12">
        <f>IF(A104="","",N(G104)+N(H104)-N(I104)-N(J104))</f>
        <v/>
      </c>
      <c r="L104" s="15" t="n"/>
      <c r="M104" s="12">
        <f>IF(L104="","",L104-K104)</f>
        <v/>
      </c>
      <c r="N104" s="7">
        <f>IF(M104="","",M104*N(E104))</f>
        <v/>
      </c>
      <c r="O104" s="7">
        <f>IF(A104="","",IF(L104="",K104,L104)*N(D104))</f>
        <v/>
      </c>
      <c r="P104" s="7">
        <f>IF(OR(D104="",E104=""),"",E104-D104)</f>
        <v/>
      </c>
      <c r="Q104" s="8">
        <f>IF(OR(N(E104)=0,P104=""),"",P104/E104)</f>
        <v/>
      </c>
      <c r="R104" s="12">
        <f>IF(OR(A104="",F104=""),"",IF(IF(L104="",K104,L104)&lt;=F104,"À COMMANDER","OK"))</f>
        <v/>
      </c>
    </row>
    <row r="105">
      <c r="A105" s="15" t="n"/>
      <c r="B105" s="15" t="n"/>
      <c r="C105" s="15" t="n"/>
      <c r="D105" s="17" t="n"/>
      <c r="E105" s="17" t="n"/>
      <c r="F105" s="15" t="n"/>
      <c r="G105" s="15" t="n"/>
      <c r="H105" s="15" t="n"/>
      <c r="I105" s="15" t="n"/>
      <c r="J105" s="15" t="n"/>
      <c r="K105" s="12">
        <f>IF(A105="","",N(G105)+N(H105)-N(I105)-N(J105))</f>
        <v/>
      </c>
      <c r="L105" s="15" t="n"/>
      <c r="M105" s="12">
        <f>IF(L105="","",L105-K105)</f>
        <v/>
      </c>
      <c r="N105" s="7">
        <f>IF(M105="","",M105*N(E105))</f>
        <v/>
      </c>
      <c r="O105" s="7">
        <f>IF(A105="","",IF(L105="",K105,L105)*N(D105))</f>
        <v/>
      </c>
      <c r="P105" s="7">
        <f>IF(OR(D105="",E105=""),"",E105-D105)</f>
        <v/>
      </c>
      <c r="Q105" s="8">
        <f>IF(OR(N(E105)=0,P105=""),"",P105/E105)</f>
        <v/>
      </c>
      <c r="R105" s="12">
        <f>IF(OR(A105="",F105=""),"",IF(IF(L105="",K105,L105)&lt;=F105,"À COMMANDER","OK"))</f>
        <v/>
      </c>
    </row>
    <row r="106">
      <c r="A106" s="15" t="n"/>
      <c r="B106" s="15" t="n"/>
      <c r="C106" s="15" t="n"/>
      <c r="D106" s="17" t="n"/>
      <c r="E106" s="17" t="n"/>
      <c r="F106" s="15" t="n"/>
      <c r="G106" s="15" t="n"/>
      <c r="H106" s="15" t="n"/>
      <c r="I106" s="15" t="n"/>
      <c r="J106" s="15" t="n"/>
      <c r="K106" s="12">
        <f>IF(A106="","",N(G106)+N(H106)-N(I106)-N(J106))</f>
        <v/>
      </c>
      <c r="L106" s="15" t="n"/>
      <c r="M106" s="12">
        <f>IF(L106="","",L106-K106)</f>
        <v/>
      </c>
      <c r="N106" s="7">
        <f>IF(M106="","",M106*N(E106))</f>
        <v/>
      </c>
      <c r="O106" s="7">
        <f>IF(A106="","",IF(L106="",K106,L106)*N(D106))</f>
        <v/>
      </c>
      <c r="P106" s="7">
        <f>IF(OR(D106="",E106=""),"",E106-D106)</f>
        <v/>
      </c>
      <c r="Q106" s="8">
        <f>IF(OR(N(E106)=0,P106=""),"",P106/E106)</f>
        <v/>
      </c>
      <c r="R106" s="12">
        <f>IF(OR(A106="",F106=""),"",IF(IF(L106="",K106,L106)&lt;=F106,"À COMMANDER","OK"))</f>
        <v/>
      </c>
    </row>
    <row r="107">
      <c r="A107" s="15" t="n"/>
      <c r="B107" s="15" t="n"/>
      <c r="C107" s="15" t="n"/>
      <c r="D107" s="17" t="n"/>
      <c r="E107" s="17" t="n"/>
      <c r="F107" s="15" t="n"/>
      <c r="G107" s="15" t="n"/>
      <c r="H107" s="15" t="n"/>
      <c r="I107" s="15" t="n"/>
      <c r="J107" s="15" t="n"/>
      <c r="K107" s="12">
        <f>IF(A107="","",N(G107)+N(H107)-N(I107)-N(J107))</f>
        <v/>
      </c>
      <c r="L107" s="15" t="n"/>
      <c r="M107" s="12">
        <f>IF(L107="","",L107-K107)</f>
        <v/>
      </c>
      <c r="N107" s="7">
        <f>IF(M107="","",M107*N(E107))</f>
        <v/>
      </c>
      <c r="O107" s="7">
        <f>IF(A107="","",IF(L107="",K107,L107)*N(D107))</f>
        <v/>
      </c>
      <c r="P107" s="7">
        <f>IF(OR(D107="",E107=""),"",E107-D107)</f>
        <v/>
      </c>
      <c r="Q107" s="8">
        <f>IF(OR(N(E107)=0,P107=""),"",P107/E107)</f>
        <v/>
      </c>
      <c r="R107" s="12">
        <f>IF(OR(A107="",F107=""),"",IF(IF(L107="",K107,L107)&lt;=F107,"À COMMANDER","OK"))</f>
        <v/>
      </c>
    </row>
    <row r="108">
      <c r="A108" s="15" t="n"/>
      <c r="B108" s="15" t="n"/>
      <c r="C108" s="15" t="n"/>
      <c r="D108" s="17" t="n"/>
      <c r="E108" s="17" t="n"/>
      <c r="F108" s="15" t="n"/>
      <c r="G108" s="15" t="n"/>
      <c r="H108" s="15" t="n"/>
      <c r="I108" s="15" t="n"/>
      <c r="J108" s="15" t="n"/>
      <c r="K108" s="12">
        <f>IF(A108="","",N(G108)+N(H108)-N(I108)-N(J108))</f>
        <v/>
      </c>
      <c r="L108" s="15" t="n"/>
      <c r="M108" s="12">
        <f>IF(L108="","",L108-K108)</f>
        <v/>
      </c>
      <c r="N108" s="7">
        <f>IF(M108="","",M108*N(E108))</f>
        <v/>
      </c>
      <c r="O108" s="7">
        <f>IF(A108="","",IF(L108="",K108,L108)*N(D108))</f>
        <v/>
      </c>
      <c r="P108" s="7">
        <f>IF(OR(D108="",E108=""),"",E108-D108)</f>
        <v/>
      </c>
      <c r="Q108" s="8">
        <f>IF(OR(N(E108)=0,P108=""),"",P108/E108)</f>
        <v/>
      </c>
      <c r="R108" s="12">
        <f>IF(OR(A108="",F108=""),"",IF(IF(L108="",K108,L108)&lt;=F108,"À COMMANDER","OK"))</f>
        <v/>
      </c>
    </row>
    <row r="109">
      <c r="A109" s="15" t="n"/>
      <c r="B109" s="15" t="n"/>
      <c r="C109" s="15" t="n"/>
      <c r="D109" s="17" t="n"/>
      <c r="E109" s="17" t="n"/>
      <c r="F109" s="15" t="n"/>
      <c r="G109" s="15" t="n"/>
      <c r="H109" s="15" t="n"/>
      <c r="I109" s="15" t="n"/>
      <c r="J109" s="15" t="n"/>
      <c r="K109" s="12">
        <f>IF(A109="","",N(G109)+N(H109)-N(I109)-N(J109))</f>
        <v/>
      </c>
      <c r="L109" s="15" t="n"/>
      <c r="M109" s="12">
        <f>IF(L109="","",L109-K109)</f>
        <v/>
      </c>
      <c r="N109" s="7">
        <f>IF(M109="","",M109*N(E109))</f>
        <v/>
      </c>
      <c r="O109" s="7">
        <f>IF(A109="","",IF(L109="",K109,L109)*N(D109))</f>
        <v/>
      </c>
      <c r="P109" s="7">
        <f>IF(OR(D109="",E109=""),"",E109-D109)</f>
        <v/>
      </c>
      <c r="Q109" s="8">
        <f>IF(OR(N(E109)=0,P109=""),"",P109/E109)</f>
        <v/>
      </c>
      <c r="R109" s="12">
        <f>IF(OR(A109="",F109=""),"",IF(IF(L109="",K109,L109)&lt;=F109,"À COMMANDER","OK"))</f>
        <v/>
      </c>
    </row>
    <row r="110">
      <c r="A110" s="15" t="n"/>
      <c r="B110" s="15" t="n"/>
      <c r="C110" s="15" t="n"/>
      <c r="D110" s="17" t="n"/>
      <c r="E110" s="17" t="n"/>
      <c r="F110" s="15" t="n"/>
      <c r="G110" s="15" t="n"/>
      <c r="H110" s="15" t="n"/>
      <c r="I110" s="15" t="n"/>
      <c r="J110" s="15" t="n"/>
      <c r="K110" s="12">
        <f>IF(A110="","",N(G110)+N(H110)-N(I110)-N(J110))</f>
        <v/>
      </c>
      <c r="L110" s="15" t="n"/>
      <c r="M110" s="12">
        <f>IF(L110="","",L110-K110)</f>
        <v/>
      </c>
      <c r="N110" s="7">
        <f>IF(M110="","",M110*N(E110))</f>
        <v/>
      </c>
      <c r="O110" s="7">
        <f>IF(A110="","",IF(L110="",K110,L110)*N(D110))</f>
        <v/>
      </c>
      <c r="P110" s="7">
        <f>IF(OR(D110="",E110=""),"",E110-D110)</f>
        <v/>
      </c>
      <c r="Q110" s="8">
        <f>IF(OR(N(E110)=0,P110=""),"",P110/E110)</f>
        <v/>
      </c>
      <c r="R110" s="12">
        <f>IF(OR(A110="",F110=""),"",IF(IF(L110="",K110,L110)&lt;=F110,"À COMMANDER","OK"))</f>
        <v/>
      </c>
    </row>
    <row r="111">
      <c r="A111" s="15" t="n"/>
      <c r="B111" s="15" t="n"/>
      <c r="C111" s="15" t="n"/>
      <c r="D111" s="17" t="n"/>
      <c r="E111" s="17" t="n"/>
      <c r="F111" s="15" t="n"/>
      <c r="G111" s="15" t="n"/>
      <c r="H111" s="15" t="n"/>
      <c r="I111" s="15" t="n"/>
      <c r="J111" s="15" t="n"/>
      <c r="K111" s="12">
        <f>IF(A111="","",N(G111)+N(H111)-N(I111)-N(J111))</f>
        <v/>
      </c>
      <c r="L111" s="15" t="n"/>
      <c r="M111" s="12">
        <f>IF(L111="","",L111-K111)</f>
        <v/>
      </c>
      <c r="N111" s="7">
        <f>IF(M111="","",M111*N(E111))</f>
        <v/>
      </c>
      <c r="O111" s="7">
        <f>IF(A111="","",IF(L111="",K111,L111)*N(D111))</f>
        <v/>
      </c>
      <c r="P111" s="7">
        <f>IF(OR(D111="",E111=""),"",E111-D111)</f>
        <v/>
      </c>
      <c r="Q111" s="8">
        <f>IF(OR(N(E111)=0,P111=""),"",P111/E111)</f>
        <v/>
      </c>
      <c r="R111" s="12">
        <f>IF(OR(A111="",F111=""),"",IF(IF(L111="",K111,L111)&lt;=F111,"À COMMANDER","OK"))</f>
        <v/>
      </c>
    </row>
    <row r="112">
      <c r="A112" s="15" t="n"/>
      <c r="B112" s="15" t="n"/>
      <c r="C112" s="15" t="n"/>
      <c r="D112" s="17" t="n"/>
      <c r="E112" s="17" t="n"/>
      <c r="F112" s="15" t="n"/>
      <c r="G112" s="15" t="n"/>
      <c r="H112" s="15" t="n"/>
      <c r="I112" s="15" t="n"/>
      <c r="J112" s="15" t="n"/>
      <c r="K112" s="12">
        <f>IF(A112="","",N(G112)+N(H112)-N(I112)-N(J112))</f>
        <v/>
      </c>
      <c r="L112" s="15" t="n"/>
      <c r="M112" s="12">
        <f>IF(L112="","",L112-K112)</f>
        <v/>
      </c>
      <c r="N112" s="7">
        <f>IF(M112="","",M112*N(E112))</f>
        <v/>
      </c>
      <c r="O112" s="7">
        <f>IF(A112="","",IF(L112="",K112,L112)*N(D112))</f>
        <v/>
      </c>
      <c r="P112" s="7">
        <f>IF(OR(D112="",E112=""),"",E112-D112)</f>
        <v/>
      </c>
      <c r="Q112" s="8">
        <f>IF(OR(N(E112)=0,P112=""),"",P112/E112)</f>
        <v/>
      </c>
      <c r="R112" s="12">
        <f>IF(OR(A112="",F112=""),"",IF(IF(L112="",K112,L112)&lt;=F112,"À COMMANDER","OK"))</f>
        <v/>
      </c>
    </row>
    <row r="113">
      <c r="A113" s="15" t="n"/>
      <c r="B113" s="15" t="n"/>
      <c r="C113" s="15" t="n"/>
      <c r="D113" s="17" t="n"/>
      <c r="E113" s="17" t="n"/>
      <c r="F113" s="15" t="n"/>
      <c r="G113" s="15" t="n"/>
      <c r="H113" s="15" t="n"/>
      <c r="I113" s="15" t="n"/>
      <c r="J113" s="15" t="n"/>
      <c r="K113" s="12">
        <f>IF(A113="","",N(G113)+N(H113)-N(I113)-N(J113))</f>
        <v/>
      </c>
      <c r="L113" s="15" t="n"/>
      <c r="M113" s="12">
        <f>IF(L113="","",L113-K113)</f>
        <v/>
      </c>
      <c r="N113" s="7">
        <f>IF(M113="","",M113*N(E113))</f>
        <v/>
      </c>
      <c r="O113" s="7">
        <f>IF(A113="","",IF(L113="",K113,L113)*N(D113))</f>
        <v/>
      </c>
      <c r="P113" s="7">
        <f>IF(OR(D113="",E113=""),"",E113-D113)</f>
        <v/>
      </c>
      <c r="Q113" s="8">
        <f>IF(OR(N(E113)=0,P113=""),"",P113/E113)</f>
        <v/>
      </c>
      <c r="R113" s="12">
        <f>IF(OR(A113="",F113=""),"",IF(IF(L113="",K113,L113)&lt;=F113,"À COMMANDER","OK"))</f>
        <v/>
      </c>
    </row>
    <row r="114">
      <c r="A114" s="15" t="n"/>
      <c r="B114" s="15" t="n"/>
      <c r="C114" s="15" t="n"/>
      <c r="D114" s="17" t="n"/>
      <c r="E114" s="17" t="n"/>
      <c r="F114" s="15" t="n"/>
      <c r="G114" s="15" t="n"/>
      <c r="H114" s="15" t="n"/>
      <c r="I114" s="15" t="n"/>
      <c r="J114" s="15" t="n"/>
      <c r="K114" s="12">
        <f>IF(A114="","",N(G114)+N(H114)-N(I114)-N(J114))</f>
        <v/>
      </c>
      <c r="L114" s="15" t="n"/>
      <c r="M114" s="12">
        <f>IF(L114="","",L114-K114)</f>
        <v/>
      </c>
      <c r="N114" s="7">
        <f>IF(M114="","",M114*N(E114))</f>
        <v/>
      </c>
      <c r="O114" s="7">
        <f>IF(A114="","",IF(L114="",K114,L114)*N(D114))</f>
        <v/>
      </c>
      <c r="P114" s="7">
        <f>IF(OR(D114="",E114=""),"",E114-D114)</f>
        <v/>
      </c>
      <c r="Q114" s="8">
        <f>IF(OR(N(E114)=0,P114=""),"",P114/E114)</f>
        <v/>
      </c>
      <c r="R114" s="12">
        <f>IF(OR(A114="",F114=""),"",IF(IF(L114="",K114,L114)&lt;=F114,"À COMMANDER","OK"))</f>
        <v/>
      </c>
    </row>
    <row r="115">
      <c r="A115" s="15" t="n"/>
      <c r="B115" s="15" t="n"/>
      <c r="C115" s="15" t="n"/>
      <c r="D115" s="17" t="n"/>
      <c r="E115" s="17" t="n"/>
      <c r="F115" s="15" t="n"/>
      <c r="G115" s="15" t="n"/>
      <c r="H115" s="15" t="n"/>
      <c r="I115" s="15" t="n"/>
      <c r="J115" s="15" t="n"/>
      <c r="K115" s="12">
        <f>IF(A115="","",N(G115)+N(H115)-N(I115)-N(J115))</f>
        <v/>
      </c>
      <c r="L115" s="15" t="n"/>
      <c r="M115" s="12">
        <f>IF(L115="","",L115-K115)</f>
        <v/>
      </c>
      <c r="N115" s="7">
        <f>IF(M115="","",M115*N(E115))</f>
        <v/>
      </c>
      <c r="O115" s="7">
        <f>IF(A115="","",IF(L115="",K115,L115)*N(D115))</f>
        <v/>
      </c>
      <c r="P115" s="7">
        <f>IF(OR(D115="",E115=""),"",E115-D115)</f>
        <v/>
      </c>
      <c r="Q115" s="8">
        <f>IF(OR(N(E115)=0,P115=""),"",P115/E115)</f>
        <v/>
      </c>
      <c r="R115" s="12">
        <f>IF(OR(A115="",F115=""),"",IF(IF(L115="",K115,L115)&lt;=F115,"À COMMANDER","OK"))</f>
        <v/>
      </c>
    </row>
    <row r="116">
      <c r="A116" s="15" t="n"/>
      <c r="B116" s="15" t="n"/>
      <c r="C116" s="15" t="n"/>
      <c r="D116" s="17" t="n"/>
      <c r="E116" s="17" t="n"/>
      <c r="F116" s="15" t="n"/>
      <c r="G116" s="15" t="n"/>
      <c r="H116" s="15" t="n"/>
      <c r="I116" s="15" t="n"/>
      <c r="J116" s="15" t="n"/>
      <c r="K116" s="12">
        <f>IF(A116="","",N(G116)+N(H116)-N(I116)-N(J116))</f>
        <v/>
      </c>
      <c r="L116" s="15" t="n"/>
      <c r="M116" s="12">
        <f>IF(L116="","",L116-K116)</f>
        <v/>
      </c>
      <c r="N116" s="7">
        <f>IF(M116="","",M116*N(E116))</f>
        <v/>
      </c>
      <c r="O116" s="7">
        <f>IF(A116="","",IF(L116="",K116,L116)*N(D116))</f>
        <v/>
      </c>
      <c r="P116" s="7">
        <f>IF(OR(D116="",E116=""),"",E116-D116)</f>
        <v/>
      </c>
      <c r="Q116" s="8">
        <f>IF(OR(N(E116)=0,P116=""),"",P116/E116)</f>
        <v/>
      </c>
      <c r="R116" s="12">
        <f>IF(OR(A116="",F116=""),"",IF(IF(L116="",K116,L116)&lt;=F116,"À COMMANDER","OK"))</f>
        <v/>
      </c>
    </row>
    <row r="117">
      <c r="A117" s="15" t="n"/>
      <c r="B117" s="15" t="n"/>
      <c r="C117" s="15" t="n"/>
      <c r="D117" s="17" t="n"/>
      <c r="E117" s="17" t="n"/>
      <c r="F117" s="15" t="n"/>
      <c r="G117" s="15" t="n"/>
      <c r="H117" s="15" t="n"/>
      <c r="I117" s="15" t="n"/>
      <c r="J117" s="15" t="n"/>
      <c r="K117" s="12">
        <f>IF(A117="","",N(G117)+N(H117)-N(I117)-N(J117))</f>
        <v/>
      </c>
      <c r="L117" s="15" t="n"/>
      <c r="M117" s="12">
        <f>IF(L117="","",L117-K117)</f>
        <v/>
      </c>
      <c r="N117" s="7">
        <f>IF(M117="","",M117*N(E117))</f>
        <v/>
      </c>
      <c r="O117" s="7">
        <f>IF(A117="","",IF(L117="",K117,L117)*N(D117))</f>
        <v/>
      </c>
      <c r="P117" s="7">
        <f>IF(OR(D117="",E117=""),"",E117-D117)</f>
        <v/>
      </c>
      <c r="Q117" s="8">
        <f>IF(OR(N(E117)=0,P117=""),"",P117/E117)</f>
        <v/>
      </c>
      <c r="R117" s="12">
        <f>IF(OR(A117="",F117=""),"",IF(IF(L117="",K117,L117)&lt;=F117,"À COMMANDER","OK"))</f>
        <v/>
      </c>
    </row>
    <row r="118">
      <c r="A118" s="15" t="n"/>
      <c r="B118" s="15" t="n"/>
      <c r="C118" s="15" t="n"/>
      <c r="D118" s="17" t="n"/>
      <c r="E118" s="17" t="n"/>
      <c r="F118" s="15" t="n"/>
      <c r="G118" s="15" t="n"/>
      <c r="H118" s="15" t="n"/>
      <c r="I118" s="15" t="n"/>
      <c r="J118" s="15" t="n"/>
      <c r="K118" s="12">
        <f>IF(A118="","",N(G118)+N(H118)-N(I118)-N(J118))</f>
        <v/>
      </c>
      <c r="L118" s="15" t="n"/>
      <c r="M118" s="12">
        <f>IF(L118="","",L118-K118)</f>
        <v/>
      </c>
      <c r="N118" s="7">
        <f>IF(M118="","",M118*N(E118))</f>
        <v/>
      </c>
      <c r="O118" s="7">
        <f>IF(A118="","",IF(L118="",K118,L118)*N(D118))</f>
        <v/>
      </c>
      <c r="P118" s="7">
        <f>IF(OR(D118="",E118=""),"",E118-D118)</f>
        <v/>
      </c>
      <c r="Q118" s="8">
        <f>IF(OR(N(E118)=0,P118=""),"",P118/E118)</f>
        <v/>
      </c>
      <c r="R118" s="12">
        <f>IF(OR(A118="",F118=""),"",IF(IF(L118="",K118,L118)&lt;=F118,"À COMMANDER","OK"))</f>
        <v/>
      </c>
    </row>
    <row r="119">
      <c r="A119" s="15" t="n"/>
      <c r="B119" s="15" t="n"/>
      <c r="C119" s="15" t="n"/>
      <c r="D119" s="17" t="n"/>
      <c r="E119" s="17" t="n"/>
      <c r="F119" s="15" t="n"/>
      <c r="G119" s="15" t="n"/>
      <c r="H119" s="15" t="n"/>
      <c r="I119" s="15" t="n"/>
      <c r="J119" s="15" t="n"/>
      <c r="K119" s="12">
        <f>IF(A119="","",N(G119)+N(H119)-N(I119)-N(J119))</f>
        <v/>
      </c>
      <c r="L119" s="15" t="n"/>
      <c r="M119" s="12">
        <f>IF(L119="","",L119-K119)</f>
        <v/>
      </c>
      <c r="N119" s="7">
        <f>IF(M119="","",M119*N(E119))</f>
        <v/>
      </c>
      <c r="O119" s="7">
        <f>IF(A119="","",IF(L119="",K119,L119)*N(D119))</f>
        <v/>
      </c>
      <c r="P119" s="7">
        <f>IF(OR(D119="",E119=""),"",E119-D119)</f>
        <v/>
      </c>
      <c r="Q119" s="8">
        <f>IF(OR(N(E119)=0,P119=""),"",P119/E119)</f>
        <v/>
      </c>
      <c r="R119" s="12">
        <f>IF(OR(A119="",F119=""),"",IF(IF(L119="",K119,L119)&lt;=F119,"À COMMANDER","OK"))</f>
        <v/>
      </c>
    </row>
    <row r="120">
      <c r="A120" s="15" t="n"/>
      <c r="B120" s="15" t="n"/>
      <c r="C120" s="15" t="n"/>
      <c r="D120" s="17" t="n"/>
      <c r="E120" s="17" t="n"/>
      <c r="F120" s="15" t="n"/>
      <c r="G120" s="15" t="n"/>
      <c r="H120" s="15" t="n"/>
      <c r="I120" s="15" t="n"/>
      <c r="J120" s="15" t="n"/>
      <c r="K120" s="12">
        <f>IF(A120="","",N(G120)+N(H120)-N(I120)-N(J120))</f>
        <v/>
      </c>
      <c r="L120" s="15" t="n"/>
      <c r="M120" s="12">
        <f>IF(L120="","",L120-K120)</f>
        <v/>
      </c>
      <c r="N120" s="7">
        <f>IF(M120="","",M120*N(E120))</f>
        <v/>
      </c>
      <c r="O120" s="7">
        <f>IF(A120="","",IF(L120="",K120,L120)*N(D120))</f>
        <v/>
      </c>
      <c r="P120" s="7">
        <f>IF(OR(D120="",E120=""),"",E120-D120)</f>
        <v/>
      </c>
      <c r="Q120" s="8">
        <f>IF(OR(N(E120)=0,P120=""),"",P120/E120)</f>
        <v/>
      </c>
      <c r="R120" s="12">
        <f>IF(OR(A120="",F120=""),"",IF(IF(L120="",K120,L120)&lt;=F120,"À COMMANDER","OK"))</f>
        <v/>
      </c>
    </row>
    <row r="121">
      <c r="A121" s="15" t="n"/>
      <c r="B121" s="15" t="n"/>
      <c r="C121" s="15" t="n"/>
      <c r="D121" s="17" t="n"/>
      <c r="E121" s="17" t="n"/>
      <c r="F121" s="15" t="n"/>
      <c r="G121" s="15" t="n"/>
      <c r="H121" s="15" t="n"/>
      <c r="I121" s="15" t="n"/>
      <c r="J121" s="15" t="n"/>
      <c r="K121" s="12">
        <f>IF(A121="","",N(G121)+N(H121)-N(I121)-N(J121))</f>
        <v/>
      </c>
      <c r="L121" s="15" t="n"/>
      <c r="M121" s="12">
        <f>IF(L121="","",L121-K121)</f>
        <v/>
      </c>
      <c r="N121" s="7">
        <f>IF(M121="","",M121*N(E121))</f>
        <v/>
      </c>
      <c r="O121" s="7">
        <f>IF(A121="","",IF(L121="",K121,L121)*N(D121))</f>
        <v/>
      </c>
      <c r="P121" s="7">
        <f>IF(OR(D121="",E121=""),"",E121-D121)</f>
        <v/>
      </c>
      <c r="Q121" s="8">
        <f>IF(OR(N(E121)=0,P121=""),"",P121/E121)</f>
        <v/>
      </c>
      <c r="R121" s="12">
        <f>IF(OR(A121="",F121=""),"",IF(IF(L121="",K121,L121)&lt;=F121,"À COMMANDER","OK"))</f>
        <v/>
      </c>
    </row>
    <row r="122">
      <c r="A122" s="15" t="n"/>
      <c r="B122" s="15" t="n"/>
      <c r="C122" s="15" t="n"/>
      <c r="D122" s="17" t="n"/>
      <c r="E122" s="17" t="n"/>
      <c r="F122" s="15" t="n"/>
      <c r="G122" s="15" t="n"/>
      <c r="H122" s="15" t="n"/>
      <c r="I122" s="15" t="n"/>
      <c r="J122" s="15" t="n"/>
      <c r="K122" s="12">
        <f>IF(A122="","",N(G122)+N(H122)-N(I122)-N(J122))</f>
        <v/>
      </c>
      <c r="L122" s="15" t="n"/>
      <c r="M122" s="12">
        <f>IF(L122="","",L122-K122)</f>
        <v/>
      </c>
      <c r="N122" s="7">
        <f>IF(M122="","",M122*N(E122))</f>
        <v/>
      </c>
      <c r="O122" s="7">
        <f>IF(A122="","",IF(L122="",K122,L122)*N(D122))</f>
        <v/>
      </c>
      <c r="P122" s="7">
        <f>IF(OR(D122="",E122=""),"",E122-D122)</f>
        <v/>
      </c>
      <c r="Q122" s="8">
        <f>IF(OR(N(E122)=0,P122=""),"",P122/E122)</f>
        <v/>
      </c>
      <c r="R122" s="12">
        <f>IF(OR(A122="",F122=""),"",IF(IF(L122="",K122,L122)&lt;=F122,"À COMMANDER","OK"))</f>
        <v/>
      </c>
    </row>
    <row r="123">
      <c r="A123" s="15" t="n"/>
      <c r="B123" s="15" t="n"/>
      <c r="C123" s="15" t="n"/>
      <c r="D123" s="17" t="n"/>
      <c r="E123" s="17" t="n"/>
      <c r="F123" s="15" t="n"/>
      <c r="G123" s="15" t="n"/>
      <c r="H123" s="15" t="n"/>
      <c r="I123" s="15" t="n"/>
      <c r="J123" s="15" t="n"/>
      <c r="K123" s="12">
        <f>IF(A123="","",N(G123)+N(H123)-N(I123)-N(J123))</f>
        <v/>
      </c>
      <c r="L123" s="15" t="n"/>
      <c r="M123" s="12">
        <f>IF(L123="","",L123-K123)</f>
        <v/>
      </c>
      <c r="N123" s="7">
        <f>IF(M123="","",M123*N(E123))</f>
        <v/>
      </c>
      <c r="O123" s="7">
        <f>IF(A123="","",IF(L123="",K123,L123)*N(D123))</f>
        <v/>
      </c>
      <c r="P123" s="7">
        <f>IF(OR(D123="",E123=""),"",E123-D123)</f>
        <v/>
      </c>
      <c r="Q123" s="8">
        <f>IF(OR(N(E123)=0,P123=""),"",P123/E123)</f>
        <v/>
      </c>
      <c r="R123" s="12">
        <f>IF(OR(A123="",F123=""),"",IF(IF(L123="",K123,L123)&lt;=F123,"À COMMANDER","OK"))</f>
        <v/>
      </c>
    </row>
    <row r="124">
      <c r="A124" s="15" t="n"/>
      <c r="B124" s="15" t="n"/>
      <c r="C124" s="15" t="n"/>
      <c r="D124" s="17" t="n"/>
      <c r="E124" s="17" t="n"/>
      <c r="F124" s="15" t="n"/>
      <c r="G124" s="15" t="n"/>
      <c r="H124" s="15" t="n"/>
      <c r="I124" s="15" t="n"/>
      <c r="J124" s="15" t="n"/>
      <c r="K124" s="12">
        <f>IF(A124="","",N(G124)+N(H124)-N(I124)-N(J124))</f>
        <v/>
      </c>
      <c r="L124" s="15" t="n"/>
      <c r="M124" s="12">
        <f>IF(L124="","",L124-K124)</f>
        <v/>
      </c>
      <c r="N124" s="7">
        <f>IF(M124="","",M124*N(E124))</f>
        <v/>
      </c>
      <c r="O124" s="7">
        <f>IF(A124="","",IF(L124="",K124,L124)*N(D124))</f>
        <v/>
      </c>
      <c r="P124" s="7">
        <f>IF(OR(D124="",E124=""),"",E124-D124)</f>
        <v/>
      </c>
      <c r="Q124" s="8">
        <f>IF(OR(N(E124)=0,P124=""),"",P124/E124)</f>
        <v/>
      </c>
      <c r="R124" s="12">
        <f>IF(OR(A124="",F124=""),"",IF(IF(L124="",K124,L124)&lt;=F124,"À COMMANDER","OK"))</f>
        <v/>
      </c>
    </row>
    <row r="125">
      <c r="A125" s="15" t="n"/>
      <c r="B125" s="15" t="n"/>
      <c r="C125" s="15" t="n"/>
      <c r="D125" s="17" t="n"/>
      <c r="E125" s="17" t="n"/>
      <c r="F125" s="15" t="n"/>
      <c r="G125" s="15" t="n"/>
      <c r="H125" s="15" t="n"/>
      <c r="I125" s="15" t="n"/>
      <c r="J125" s="15" t="n"/>
      <c r="K125" s="12">
        <f>IF(A125="","",N(G125)+N(H125)-N(I125)-N(J125))</f>
        <v/>
      </c>
      <c r="L125" s="15" t="n"/>
      <c r="M125" s="12">
        <f>IF(L125="","",L125-K125)</f>
        <v/>
      </c>
      <c r="N125" s="7">
        <f>IF(M125="","",M125*N(E125))</f>
        <v/>
      </c>
      <c r="O125" s="7">
        <f>IF(A125="","",IF(L125="",K125,L125)*N(D125))</f>
        <v/>
      </c>
      <c r="P125" s="7">
        <f>IF(OR(D125="",E125=""),"",E125-D125)</f>
        <v/>
      </c>
      <c r="Q125" s="8">
        <f>IF(OR(N(E125)=0,P125=""),"",P125/E125)</f>
        <v/>
      </c>
      <c r="R125" s="12">
        <f>IF(OR(A125="",F125=""),"",IF(IF(L125="",K125,L125)&lt;=F125,"À COMMANDER","OK"))</f>
        <v/>
      </c>
    </row>
    <row r="126">
      <c r="A126" s="15" t="n"/>
      <c r="B126" s="15" t="n"/>
      <c r="C126" s="15" t="n"/>
      <c r="D126" s="17" t="n"/>
      <c r="E126" s="17" t="n"/>
      <c r="F126" s="15" t="n"/>
      <c r="G126" s="15" t="n"/>
      <c r="H126" s="15" t="n"/>
      <c r="I126" s="15" t="n"/>
      <c r="J126" s="15" t="n"/>
      <c r="K126" s="12">
        <f>IF(A126="","",N(G126)+N(H126)-N(I126)-N(J126))</f>
        <v/>
      </c>
      <c r="L126" s="15" t="n"/>
      <c r="M126" s="12">
        <f>IF(L126="","",L126-K126)</f>
        <v/>
      </c>
      <c r="N126" s="7">
        <f>IF(M126="","",M126*N(E126))</f>
        <v/>
      </c>
      <c r="O126" s="7">
        <f>IF(A126="","",IF(L126="",K126,L126)*N(D126))</f>
        <v/>
      </c>
      <c r="P126" s="7">
        <f>IF(OR(D126="",E126=""),"",E126-D126)</f>
        <v/>
      </c>
      <c r="Q126" s="8">
        <f>IF(OR(N(E126)=0,P126=""),"",P126/E126)</f>
        <v/>
      </c>
      <c r="R126" s="12">
        <f>IF(OR(A126="",F126=""),"",IF(IF(L126="",K126,L126)&lt;=F126,"À COMMANDER","OK"))</f>
        <v/>
      </c>
    </row>
    <row r="127">
      <c r="A127" s="15" t="n"/>
      <c r="B127" s="15" t="n"/>
      <c r="C127" s="15" t="n"/>
      <c r="D127" s="17" t="n"/>
      <c r="E127" s="17" t="n"/>
      <c r="F127" s="15" t="n"/>
      <c r="G127" s="15" t="n"/>
      <c r="H127" s="15" t="n"/>
      <c r="I127" s="15" t="n"/>
      <c r="J127" s="15" t="n"/>
      <c r="K127" s="12">
        <f>IF(A127="","",N(G127)+N(H127)-N(I127)-N(J127))</f>
        <v/>
      </c>
      <c r="L127" s="15" t="n"/>
      <c r="M127" s="12">
        <f>IF(L127="","",L127-K127)</f>
        <v/>
      </c>
      <c r="N127" s="7">
        <f>IF(M127="","",M127*N(E127))</f>
        <v/>
      </c>
      <c r="O127" s="7">
        <f>IF(A127="","",IF(L127="",K127,L127)*N(D127))</f>
        <v/>
      </c>
      <c r="P127" s="7">
        <f>IF(OR(D127="",E127=""),"",E127-D127)</f>
        <v/>
      </c>
      <c r="Q127" s="8">
        <f>IF(OR(N(E127)=0,P127=""),"",P127/E127)</f>
        <v/>
      </c>
      <c r="R127" s="12">
        <f>IF(OR(A127="",F127=""),"",IF(IF(L127="",K127,L127)&lt;=F127,"À COMMANDER","OK"))</f>
        <v/>
      </c>
    </row>
    <row r="128">
      <c r="A128" s="15" t="n"/>
      <c r="B128" s="15" t="n"/>
      <c r="C128" s="15" t="n"/>
      <c r="D128" s="17" t="n"/>
      <c r="E128" s="17" t="n"/>
      <c r="F128" s="15" t="n"/>
      <c r="G128" s="15" t="n"/>
      <c r="H128" s="15" t="n"/>
      <c r="I128" s="15" t="n"/>
      <c r="J128" s="15" t="n"/>
      <c r="K128" s="12">
        <f>IF(A128="","",N(G128)+N(H128)-N(I128)-N(J128))</f>
        <v/>
      </c>
      <c r="L128" s="15" t="n"/>
      <c r="M128" s="12">
        <f>IF(L128="","",L128-K128)</f>
        <v/>
      </c>
      <c r="N128" s="7">
        <f>IF(M128="","",M128*N(E128))</f>
        <v/>
      </c>
      <c r="O128" s="7">
        <f>IF(A128="","",IF(L128="",K128,L128)*N(D128))</f>
        <v/>
      </c>
      <c r="P128" s="7">
        <f>IF(OR(D128="",E128=""),"",E128-D128)</f>
        <v/>
      </c>
      <c r="Q128" s="8">
        <f>IF(OR(N(E128)=0,P128=""),"",P128/E128)</f>
        <v/>
      </c>
      <c r="R128" s="12">
        <f>IF(OR(A128="",F128=""),"",IF(IF(L128="",K128,L128)&lt;=F128,"À COMMANDER","OK"))</f>
        <v/>
      </c>
    </row>
    <row r="129">
      <c r="A129" s="15" t="n"/>
      <c r="B129" s="15" t="n"/>
      <c r="C129" s="15" t="n"/>
      <c r="D129" s="17" t="n"/>
      <c r="E129" s="17" t="n"/>
      <c r="F129" s="15" t="n"/>
      <c r="G129" s="15" t="n"/>
      <c r="H129" s="15" t="n"/>
      <c r="I129" s="15" t="n"/>
      <c r="J129" s="15" t="n"/>
      <c r="K129" s="12">
        <f>IF(A129="","",N(G129)+N(H129)-N(I129)-N(J129))</f>
        <v/>
      </c>
      <c r="L129" s="15" t="n"/>
      <c r="M129" s="12">
        <f>IF(L129="","",L129-K129)</f>
        <v/>
      </c>
      <c r="N129" s="7">
        <f>IF(M129="","",M129*N(E129))</f>
        <v/>
      </c>
      <c r="O129" s="7">
        <f>IF(A129="","",IF(L129="",K129,L129)*N(D129))</f>
        <v/>
      </c>
      <c r="P129" s="7">
        <f>IF(OR(D129="",E129=""),"",E129-D129)</f>
        <v/>
      </c>
      <c r="Q129" s="8">
        <f>IF(OR(N(E129)=0,P129=""),"",P129/E129)</f>
        <v/>
      </c>
      <c r="R129" s="12">
        <f>IF(OR(A129="",F129=""),"",IF(IF(L129="",K129,L129)&lt;=F129,"À COMMANDER","OK"))</f>
        <v/>
      </c>
    </row>
    <row r="130">
      <c r="A130" s="15" t="n"/>
      <c r="B130" s="15" t="n"/>
      <c r="C130" s="15" t="n"/>
      <c r="D130" s="17" t="n"/>
      <c r="E130" s="17" t="n"/>
      <c r="F130" s="15" t="n"/>
      <c r="G130" s="15" t="n"/>
      <c r="H130" s="15" t="n"/>
      <c r="I130" s="15" t="n"/>
      <c r="J130" s="15" t="n"/>
      <c r="K130" s="12">
        <f>IF(A130="","",N(G130)+N(H130)-N(I130)-N(J130))</f>
        <v/>
      </c>
      <c r="L130" s="15" t="n"/>
      <c r="M130" s="12">
        <f>IF(L130="","",L130-K130)</f>
        <v/>
      </c>
      <c r="N130" s="7">
        <f>IF(M130="","",M130*N(E130))</f>
        <v/>
      </c>
      <c r="O130" s="7">
        <f>IF(A130="","",IF(L130="",K130,L130)*N(D130))</f>
        <v/>
      </c>
      <c r="P130" s="7">
        <f>IF(OR(D130="",E130=""),"",E130-D130)</f>
        <v/>
      </c>
      <c r="Q130" s="8">
        <f>IF(OR(N(E130)=0,P130=""),"",P130/E130)</f>
        <v/>
      </c>
      <c r="R130" s="12">
        <f>IF(OR(A130="",F130=""),"",IF(IF(L130="",K130,L130)&lt;=F130,"À COMMANDER","OK"))</f>
        <v/>
      </c>
    </row>
    <row r="131">
      <c r="A131" s="15" t="n"/>
      <c r="B131" s="15" t="n"/>
      <c r="C131" s="15" t="n"/>
      <c r="D131" s="17" t="n"/>
      <c r="E131" s="17" t="n"/>
      <c r="F131" s="15" t="n"/>
      <c r="G131" s="15" t="n"/>
      <c r="H131" s="15" t="n"/>
      <c r="I131" s="15" t="n"/>
      <c r="J131" s="15" t="n"/>
      <c r="K131" s="12">
        <f>IF(A131="","",N(G131)+N(H131)-N(I131)-N(J131))</f>
        <v/>
      </c>
      <c r="L131" s="15" t="n"/>
      <c r="M131" s="12">
        <f>IF(L131="","",L131-K131)</f>
        <v/>
      </c>
      <c r="N131" s="7">
        <f>IF(M131="","",M131*N(E131))</f>
        <v/>
      </c>
      <c r="O131" s="7">
        <f>IF(A131="","",IF(L131="",K131,L131)*N(D131))</f>
        <v/>
      </c>
      <c r="P131" s="7">
        <f>IF(OR(D131="",E131=""),"",E131-D131)</f>
        <v/>
      </c>
      <c r="Q131" s="8">
        <f>IF(OR(N(E131)=0,P131=""),"",P131/E131)</f>
        <v/>
      </c>
      <c r="R131" s="12">
        <f>IF(OR(A131="",F131=""),"",IF(IF(L131="",K131,L131)&lt;=F131,"À COMMANDER","OK"))</f>
        <v/>
      </c>
    </row>
    <row r="132">
      <c r="A132" s="15" t="n"/>
      <c r="B132" s="15" t="n"/>
      <c r="C132" s="15" t="n"/>
      <c r="D132" s="17" t="n"/>
      <c r="E132" s="17" t="n"/>
      <c r="F132" s="15" t="n"/>
      <c r="G132" s="15" t="n"/>
      <c r="H132" s="15" t="n"/>
      <c r="I132" s="15" t="n"/>
      <c r="J132" s="15" t="n"/>
      <c r="K132" s="12">
        <f>IF(A132="","",N(G132)+N(H132)-N(I132)-N(J132))</f>
        <v/>
      </c>
      <c r="L132" s="15" t="n"/>
      <c r="M132" s="12">
        <f>IF(L132="","",L132-K132)</f>
        <v/>
      </c>
      <c r="N132" s="7">
        <f>IF(M132="","",M132*N(E132))</f>
        <v/>
      </c>
      <c r="O132" s="7">
        <f>IF(A132="","",IF(L132="",K132,L132)*N(D132))</f>
        <v/>
      </c>
      <c r="P132" s="7">
        <f>IF(OR(D132="",E132=""),"",E132-D132)</f>
        <v/>
      </c>
      <c r="Q132" s="8">
        <f>IF(OR(N(E132)=0,P132=""),"",P132/E132)</f>
        <v/>
      </c>
      <c r="R132" s="12">
        <f>IF(OR(A132="",F132=""),"",IF(IF(L132="",K132,L132)&lt;=F132,"À COMMANDER","OK"))</f>
        <v/>
      </c>
    </row>
    <row r="133">
      <c r="A133" s="15" t="n"/>
      <c r="B133" s="15" t="n"/>
      <c r="C133" s="15" t="n"/>
      <c r="D133" s="17" t="n"/>
      <c r="E133" s="17" t="n"/>
      <c r="F133" s="15" t="n"/>
      <c r="G133" s="15" t="n"/>
      <c r="H133" s="15" t="n"/>
      <c r="I133" s="15" t="n"/>
      <c r="J133" s="15" t="n"/>
      <c r="K133" s="12">
        <f>IF(A133="","",N(G133)+N(H133)-N(I133)-N(J133))</f>
        <v/>
      </c>
      <c r="L133" s="15" t="n"/>
      <c r="M133" s="12">
        <f>IF(L133="","",L133-K133)</f>
        <v/>
      </c>
      <c r="N133" s="7">
        <f>IF(M133="","",M133*N(E133))</f>
        <v/>
      </c>
      <c r="O133" s="7">
        <f>IF(A133="","",IF(L133="",K133,L133)*N(D133))</f>
        <v/>
      </c>
      <c r="P133" s="7">
        <f>IF(OR(D133="",E133=""),"",E133-D133)</f>
        <v/>
      </c>
      <c r="Q133" s="8">
        <f>IF(OR(N(E133)=0,P133=""),"",P133/E133)</f>
        <v/>
      </c>
      <c r="R133" s="12">
        <f>IF(OR(A133="",F133=""),"",IF(IF(L133="",K133,L133)&lt;=F133,"À COMMANDER","OK"))</f>
        <v/>
      </c>
    </row>
    <row r="134">
      <c r="A134" s="15" t="n"/>
      <c r="B134" s="15" t="n"/>
      <c r="C134" s="15" t="n"/>
      <c r="D134" s="17" t="n"/>
      <c r="E134" s="17" t="n"/>
      <c r="F134" s="15" t="n"/>
      <c r="G134" s="15" t="n"/>
      <c r="H134" s="15" t="n"/>
      <c r="I134" s="15" t="n"/>
      <c r="J134" s="15" t="n"/>
      <c r="K134" s="12">
        <f>IF(A134="","",N(G134)+N(H134)-N(I134)-N(J134))</f>
        <v/>
      </c>
      <c r="L134" s="15" t="n"/>
      <c r="M134" s="12">
        <f>IF(L134="","",L134-K134)</f>
        <v/>
      </c>
      <c r="N134" s="7">
        <f>IF(M134="","",M134*N(E134))</f>
        <v/>
      </c>
      <c r="O134" s="7">
        <f>IF(A134="","",IF(L134="",K134,L134)*N(D134))</f>
        <v/>
      </c>
      <c r="P134" s="7">
        <f>IF(OR(D134="",E134=""),"",E134-D134)</f>
        <v/>
      </c>
      <c r="Q134" s="8">
        <f>IF(OR(N(E134)=0,P134=""),"",P134/E134)</f>
        <v/>
      </c>
      <c r="R134" s="12">
        <f>IF(OR(A134="",F134=""),"",IF(IF(L134="",K134,L134)&lt;=F134,"À COMMANDER","OK"))</f>
        <v/>
      </c>
    </row>
    <row r="135">
      <c r="A135" s="15" t="n"/>
      <c r="B135" s="15" t="n"/>
      <c r="C135" s="15" t="n"/>
      <c r="D135" s="17" t="n"/>
      <c r="E135" s="17" t="n"/>
      <c r="F135" s="15" t="n"/>
      <c r="G135" s="15" t="n"/>
      <c r="H135" s="15" t="n"/>
      <c r="I135" s="15" t="n"/>
      <c r="J135" s="15" t="n"/>
      <c r="K135" s="12">
        <f>IF(A135="","",N(G135)+N(H135)-N(I135)-N(J135))</f>
        <v/>
      </c>
      <c r="L135" s="15" t="n"/>
      <c r="M135" s="12">
        <f>IF(L135="","",L135-K135)</f>
        <v/>
      </c>
      <c r="N135" s="7">
        <f>IF(M135="","",M135*N(E135))</f>
        <v/>
      </c>
      <c r="O135" s="7">
        <f>IF(A135="","",IF(L135="",K135,L135)*N(D135))</f>
        <v/>
      </c>
      <c r="P135" s="7">
        <f>IF(OR(D135="",E135=""),"",E135-D135)</f>
        <v/>
      </c>
      <c r="Q135" s="8">
        <f>IF(OR(N(E135)=0,P135=""),"",P135/E135)</f>
        <v/>
      </c>
      <c r="R135" s="12">
        <f>IF(OR(A135="",F135=""),"",IF(IF(L135="",K135,L135)&lt;=F135,"À COMMANDER","OK"))</f>
        <v/>
      </c>
    </row>
    <row r="136">
      <c r="A136" s="15" t="n"/>
      <c r="B136" s="15" t="n"/>
      <c r="C136" s="15" t="n"/>
      <c r="D136" s="17" t="n"/>
      <c r="E136" s="17" t="n"/>
      <c r="F136" s="15" t="n"/>
      <c r="G136" s="15" t="n"/>
      <c r="H136" s="15" t="n"/>
      <c r="I136" s="15" t="n"/>
      <c r="J136" s="15" t="n"/>
      <c r="K136" s="12">
        <f>IF(A136="","",N(G136)+N(H136)-N(I136)-N(J136))</f>
        <v/>
      </c>
      <c r="L136" s="15" t="n"/>
      <c r="M136" s="12">
        <f>IF(L136="","",L136-K136)</f>
        <v/>
      </c>
      <c r="N136" s="7">
        <f>IF(M136="","",M136*N(E136))</f>
        <v/>
      </c>
      <c r="O136" s="7">
        <f>IF(A136="","",IF(L136="",K136,L136)*N(D136))</f>
        <v/>
      </c>
      <c r="P136" s="7">
        <f>IF(OR(D136="",E136=""),"",E136-D136)</f>
        <v/>
      </c>
      <c r="Q136" s="8">
        <f>IF(OR(N(E136)=0,P136=""),"",P136/E136)</f>
        <v/>
      </c>
      <c r="R136" s="12">
        <f>IF(OR(A136="",F136=""),"",IF(IF(L136="",K136,L136)&lt;=F136,"À COMMANDER","OK"))</f>
        <v/>
      </c>
    </row>
    <row r="137">
      <c r="A137" s="15" t="n"/>
      <c r="B137" s="15" t="n"/>
      <c r="C137" s="15" t="n"/>
      <c r="D137" s="17" t="n"/>
      <c r="E137" s="17" t="n"/>
      <c r="F137" s="15" t="n"/>
      <c r="G137" s="15" t="n"/>
      <c r="H137" s="15" t="n"/>
      <c r="I137" s="15" t="n"/>
      <c r="J137" s="15" t="n"/>
      <c r="K137" s="12">
        <f>IF(A137="","",N(G137)+N(H137)-N(I137)-N(J137))</f>
        <v/>
      </c>
      <c r="L137" s="15" t="n"/>
      <c r="M137" s="12">
        <f>IF(L137="","",L137-K137)</f>
        <v/>
      </c>
      <c r="N137" s="7">
        <f>IF(M137="","",M137*N(E137))</f>
        <v/>
      </c>
      <c r="O137" s="7">
        <f>IF(A137="","",IF(L137="",K137,L137)*N(D137))</f>
        <v/>
      </c>
      <c r="P137" s="7">
        <f>IF(OR(D137="",E137=""),"",E137-D137)</f>
        <v/>
      </c>
      <c r="Q137" s="8">
        <f>IF(OR(N(E137)=0,P137=""),"",P137/E137)</f>
        <v/>
      </c>
      <c r="R137" s="12">
        <f>IF(OR(A137="",F137=""),"",IF(IF(L137="",K137,L137)&lt;=F137,"À COMMANDER","OK"))</f>
        <v/>
      </c>
    </row>
    <row r="138">
      <c r="A138" s="15" t="n"/>
      <c r="B138" s="15" t="n"/>
      <c r="C138" s="15" t="n"/>
      <c r="D138" s="17" t="n"/>
      <c r="E138" s="17" t="n"/>
      <c r="F138" s="15" t="n"/>
      <c r="G138" s="15" t="n"/>
      <c r="H138" s="15" t="n"/>
      <c r="I138" s="15" t="n"/>
      <c r="J138" s="15" t="n"/>
      <c r="K138" s="12">
        <f>IF(A138="","",N(G138)+N(H138)-N(I138)-N(J138))</f>
        <v/>
      </c>
      <c r="L138" s="15" t="n"/>
      <c r="M138" s="12">
        <f>IF(L138="","",L138-K138)</f>
        <v/>
      </c>
      <c r="N138" s="7">
        <f>IF(M138="","",M138*N(E138))</f>
        <v/>
      </c>
      <c r="O138" s="7">
        <f>IF(A138="","",IF(L138="",K138,L138)*N(D138))</f>
        <v/>
      </c>
      <c r="P138" s="7">
        <f>IF(OR(D138="",E138=""),"",E138-D138)</f>
        <v/>
      </c>
      <c r="Q138" s="8">
        <f>IF(OR(N(E138)=0,P138=""),"",P138/E138)</f>
        <v/>
      </c>
      <c r="R138" s="12">
        <f>IF(OR(A138="",F138=""),"",IF(IF(L138="",K138,L138)&lt;=F138,"À COMMANDER","OK"))</f>
        <v/>
      </c>
    </row>
    <row r="139">
      <c r="A139" s="15" t="n"/>
      <c r="B139" s="15" t="n"/>
      <c r="C139" s="15" t="n"/>
      <c r="D139" s="17" t="n"/>
      <c r="E139" s="17" t="n"/>
      <c r="F139" s="15" t="n"/>
      <c r="G139" s="15" t="n"/>
      <c r="H139" s="15" t="n"/>
      <c r="I139" s="15" t="n"/>
      <c r="J139" s="15" t="n"/>
      <c r="K139" s="12">
        <f>IF(A139="","",N(G139)+N(H139)-N(I139)-N(J139))</f>
        <v/>
      </c>
      <c r="L139" s="15" t="n"/>
      <c r="M139" s="12">
        <f>IF(L139="","",L139-K139)</f>
        <v/>
      </c>
      <c r="N139" s="7">
        <f>IF(M139="","",M139*N(E139))</f>
        <v/>
      </c>
      <c r="O139" s="7">
        <f>IF(A139="","",IF(L139="",K139,L139)*N(D139))</f>
        <v/>
      </c>
      <c r="P139" s="7">
        <f>IF(OR(D139="",E139=""),"",E139-D139)</f>
        <v/>
      </c>
      <c r="Q139" s="8">
        <f>IF(OR(N(E139)=0,P139=""),"",P139/E139)</f>
        <v/>
      </c>
      <c r="R139" s="12">
        <f>IF(OR(A139="",F139=""),"",IF(IF(L139="",K139,L139)&lt;=F139,"À COMMANDER","OK"))</f>
        <v/>
      </c>
    </row>
    <row r="140">
      <c r="A140" s="15" t="n"/>
      <c r="B140" s="15" t="n"/>
      <c r="C140" s="15" t="n"/>
      <c r="D140" s="17" t="n"/>
      <c r="E140" s="17" t="n"/>
      <c r="F140" s="15" t="n"/>
      <c r="G140" s="15" t="n"/>
      <c r="H140" s="15" t="n"/>
      <c r="I140" s="15" t="n"/>
      <c r="J140" s="15" t="n"/>
      <c r="K140" s="12">
        <f>IF(A140="","",N(G140)+N(H140)-N(I140)-N(J140))</f>
        <v/>
      </c>
      <c r="L140" s="15" t="n"/>
      <c r="M140" s="12">
        <f>IF(L140="","",L140-K140)</f>
        <v/>
      </c>
      <c r="N140" s="7">
        <f>IF(M140="","",M140*N(E140))</f>
        <v/>
      </c>
      <c r="O140" s="7">
        <f>IF(A140="","",IF(L140="",K140,L140)*N(D140))</f>
        <v/>
      </c>
      <c r="P140" s="7">
        <f>IF(OR(D140="",E140=""),"",E140-D140)</f>
        <v/>
      </c>
      <c r="Q140" s="8">
        <f>IF(OR(N(E140)=0,P140=""),"",P140/E140)</f>
        <v/>
      </c>
      <c r="R140" s="12">
        <f>IF(OR(A140="",F140=""),"",IF(IF(L140="",K140,L140)&lt;=F140,"À COMMANDER","OK"))</f>
        <v/>
      </c>
    </row>
    <row r="141">
      <c r="A141" s="15" t="n"/>
      <c r="B141" s="15" t="n"/>
      <c r="C141" s="15" t="n"/>
      <c r="D141" s="17" t="n"/>
      <c r="E141" s="17" t="n"/>
      <c r="F141" s="15" t="n"/>
      <c r="G141" s="15" t="n"/>
      <c r="H141" s="15" t="n"/>
      <c r="I141" s="15" t="n"/>
      <c r="J141" s="15" t="n"/>
      <c r="K141" s="12">
        <f>IF(A141="","",N(G141)+N(H141)-N(I141)-N(J141))</f>
        <v/>
      </c>
      <c r="L141" s="15" t="n"/>
      <c r="M141" s="12">
        <f>IF(L141="","",L141-K141)</f>
        <v/>
      </c>
      <c r="N141" s="7">
        <f>IF(M141="","",M141*N(E141))</f>
        <v/>
      </c>
      <c r="O141" s="7">
        <f>IF(A141="","",IF(L141="",K141,L141)*N(D141))</f>
        <v/>
      </c>
      <c r="P141" s="7">
        <f>IF(OR(D141="",E141=""),"",E141-D141)</f>
        <v/>
      </c>
      <c r="Q141" s="8">
        <f>IF(OR(N(E141)=0,P141=""),"",P141/E141)</f>
        <v/>
      </c>
      <c r="R141" s="12">
        <f>IF(OR(A141="",F141=""),"",IF(IF(L141="",K141,L141)&lt;=F141,"À COMMANDER","OK"))</f>
        <v/>
      </c>
    </row>
    <row r="142">
      <c r="A142" s="15" t="n"/>
      <c r="B142" s="15" t="n"/>
      <c r="C142" s="15" t="n"/>
      <c r="D142" s="17" t="n"/>
      <c r="E142" s="17" t="n"/>
      <c r="F142" s="15" t="n"/>
      <c r="G142" s="15" t="n"/>
      <c r="H142" s="15" t="n"/>
      <c r="I142" s="15" t="n"/>
      <c r="J142" s="15" t="n"/>
      <c r="K142" s="12">
        <f>IF(A142="","",N(G142)+N(H142)-N(I142)-N(J142))</f>
        <v/>
      </c>
      <c r="L142" s="15" t="n"/>
      <c r="M142" s="12">
        <f>IF(L142="","",L142-K142)</f>
        <v/>
      </c>
      <c r="N142" s="7">
        <f>IF(M142="","",M142*N(E142))</f>
        <v/>
      </c>
      <c r="O142" s="7">
        <f>IF(A142="","",IF(L142="",K142,L142)*N(D142))</f>
        <v/>
      </c>
      <c r="P142" s="7">
        <f>IF(OR(D142="",E142=""),"",E142-D142)</f>
        <v/>
      </c>
      <c r="Q142" s="8">
        <f>IF(OR(N(E142)=0,P142=""),"",P142/E142)</f>
        <v/>
      </c>
      <c r="R142" s="12">
        <f>IF(OR(A142="",F142=""),"",IF(IF(L142="",K142,L142)&lt;=F142,"À COMMANDER","OK"))</f>
        <v/>
      </c>
    </row>
    <row r="143">
      <c r="A143" s="15" t="n"/>
      <c r="B143" s="15" t="n"/>
      <c r="C143" s="15" t="n"/>
      <c r="D143" s="17" t="n"/>
      <c r="E143" s="17" t="n"/>
      <c r="F143" s="15" t="n"/>
      <c r="G143" s="15" t="n"/>
      <c r="H143" s="15" t="n"/>
      <c r="I143" s="15" t="n"/>
      <c r="J143" s="15" t="n"/>
      <c r="K143" s="12">
        <f>IF(A143="","",N(G143)+N(H143)-N(I143)-N(J143))</f>
        <v/>
      </c>
      <c r="L143" s="15" t="n"/>
      <c r="M143" s="12">
        <f>IF(L143="","",L143-K143)</f>
        <v/>
      </c>
      <c r="N143" s="7">
        <f>IF(M143="","",M143*N(E143))</f>
        <v/>
      </c>
      <c r="O143" s="7">
        <f>IF(A143="","",IF(L143="",K143,L143)*N(D143))</f>
        <v/>
      </c>
      <c r="P143" s="7">
        <f>IF(OR(D143="",E143=""),"",E143-D143)</f>
        <v/>
      </c>
      <c r="Q143" s="8">
        <f>IF(OR(N(E143)=0,P143=""),"",P143/E143)</f>
        <v/>
      </c>
      <c r="R143" s="12">
        <f>IF(OR(A143="",F143=""),"",IF(IF(L143="",K143,L143)&lt;=F143,"À COMMANDER","OK"))</f>
        <v/>
      </c>
    </row>
    <row r="144">
      <c r="A144" s="15" t="n"/>
      <c r="B144" s="15" t="n"/>
      <c r="C144" s="15" t="n"/>
      <c r="D144" s="17" t="n"/>
      <c r="E144" s="17" t="n"/>
      <c r="F144" s="15" t="n"/>
      <c r="G144" s="15" t="n"/>
      <c r="H144" s="15" t="n"/>
      <c r="I144" s="15" t="n"/>
      <c r="J144" s="15" t="n"/>
      <c r="K144" s="12">
        <f>IF(A144="","",N(G144)+N(H144)-N(I144)-N(J144))</f>
        <v/>
      </c>
      <c r="L144" s="15" t="n"/>
      <c r="M144" s="12">
        <f>IF(L144="","",L144-K144)</f>
        <v/>
      </c>
      <c r="N144" s="7">
        <f>IF(M144="","",M144*N(E144))</f>
        <v/>
      </c>
      <c r="O144" s="7">
        <f>IF(A144="","",IF(L144="",K144,L144)*N(D144))</f>
        <v/>
      </c>
      <c r="P144" s="7">
        <f>IF(OR(D144="",E144=""),"",E144-D144)</f>
        <v/>
      </c>
      <c r="Q144" s="8">
        <f>IF(OR(N(E144)=0,P144=""),"",P144/E144)</f>
        <v/>
      </c>
      <c r="R144" s="12">
        <f>IF(OR(A144="",F144=""),"",IF(IF(L144="",K144,L144)&lt;=F144,"À COMMANDER","OK"))</f>
        <v/>
      </c>
    </row>
    <row r="145">
      <c r="A145" s="15" t="n"/>
      <c r="B145" s="15" t="n"/>
      <c r="C145" s="15" t="n"/>
      <c r="D145" s="17" t="n"/>
      <c r="E145" s="17" t="n"/>
      <c r="F145" s="15" t="n"/>
      <c r="G145" s="15" t="n"/>
      <c r="H145" s="15" t="n"/>
      <c r="I145" s="15" t="n"/>
      <c r="J145" s="15" t="n"/>
      <c r="K145" s="12">
        <f>IF(A145="","",N(G145)+N(H145)-N(I145)-N(J145))</f>
        <v/>
      </c>
      <c r="L145" s="15" t="n"/>
      <c r="M145" s="12">
        <f>IF(L145="","",L145-K145)</f>
        <v/>
      </c>
      <c r="N145" s="7">
        <f>IF(M145="","",M145*N(E145))</f>
        <v/>
      </c>
      <c r="O145" s="7">
        <f>IF(A145="","",IF(L145="",K145,L145)*N(D145))</f>
        <v/>
      </c>
      <c r="P145" s="7">
        <f>IF(OR(D145="",E145=""),"",E145-D145)</f>
        <v/>
      </c>
      <c r="Q145" s="8">
        <f>IF(OR(N(E145)=0,P145=""),"",P145/E145)</f>
        <v/>
      </c>
      <c r="R145" s="12">
        <f>IF(OR(A145="",F145=""),"",IF(IF(L145="",K145,L145)&lt;=F145,"À COMMANDER","OK"))</f>
        <v/>
      </c>
    </row>
    <row r="146">
      <c r="A146" s="15" t="n"/>
      <c r="B146" s="15" t="n"/>
      <c r="C146" s="15" t="n"/>
      <c r="D146" s="17" t="n"/>
      <c r="E146" s="17" t="n"/>
      <c r="F146" s="15" t="n"/>
      <c r="G146" s="15" t="n"/>
      <c r="H146" s="15" t="n"/>
      <c r="I146" s="15" t="n"/>
      <c r="J146" s="15" t="n"/>
      <c r="K146" s="12">
        <f>IF(A146="","",N(G146)+N(H146)-N(I146)-N(J146))</f>
        <v/>
      </c>
      <c r="L146" s="15" t="n"/>
      <c r="M146" s="12">
        <f>IF(L146="","",L146-K146)</f>
        <v/>
      </c>
      <c r="N146" s="7">
        <f>IF(M146="","",M146*N(E146))</f>
        <v/>
      </c>
      <c r="O146" s="7">
        <f>IF(A146="","",IF(L146="",K146,L146)*N(D146))</f>
        <v/>
      </c>
      <c r="P146" s="7">
        <f>IF(OR(D146="",E146=""),"",E146-D146)</f>
        <v/>
      </c>
      <c r="Q146" s="8">
        <f>IF(OR(N(E146)=0,P146=""),"",P146/E146)</f>
        <v/>
      </c>
      <c r="R146" s="12">
        <f>IF(OR(A146="",F146=""),"",IF(IF(L146="",K146,L146)&lt;=F146,"À COMMANDER","OK"))</f>
        <v/>
      </c>
    </row>
    <row r="147">
      <c r="A147" s="15" t="n"/>
      <c r="B147" s="15" t="n"/>
      <c r="C147" s="15" t="n"/>
      <c r="D147" s="17" t="n"/>
      <c r="E147" s="17" t="n"/>
      <c r="F147" s="15" t="n"/>
      <c r="G147" s="15" t="n"/>
      <c r="H147" s="15" t="n"/>
      <c r="I147" s="15" t="n"/>
      <c r="J147" s="15" t="n"/>
      <c r="K147" s="12">
        <f>IF(A147="","",N(G147)+N(H147)-N(I147)-N(J147))</f>
        <v/>
      </c>
      <c r="L147" s="15" t="n"/>
      <c r="M147" s="12">
        <f>IF(L147="","",L147-K147)</f>
        <v/>
      </c>
      <c r="N147" s="7">
        <f>IF(M147="","",M147*N(E147))</f>
        <v/>
      </c>
      <c r="O147" s="7">
        <f>IF(A147="","",IF(L147="",K147,L147)*N(D147))</f>
        <v/>
      </c>
      <c r="P147" s="7">
        <f>IF(OR(D147="",E147=""),"",E147-D147)</f>
        <v/>
      </c>
      <c r="Q147" s="8">
        <f>IF(OR(N(E147)=0,P147=""),"",P147/E147)</f>
        <v/>
      </c>
      <c r="R147" s="12">
        <f>IF(OR(A147="",F147=""),"",IF(IF(L147="",K147,L147)&lt;=F147,"À COMMANDER","OK"))</f>
        <v/>
      </c>
    </row>
    <row r="148">
      <c r="A148" s="15" t="n"/>
      <c r="B148" s="15" t="n"/>
      <c r="C148" s="15" t="n"/>
      <c r="D148" s="17" t="n"/>
      <c r="E148" s="17" t="n"/>
      <c r="F148" s="15" t="n"/>
      <c r="G148" s="15" t="n"/>
      <c r="H148" s="15" t="n"/>
      <c r="I148" s="15" t="n"/>
      <c r="J148" s="15" t="n"/>
      <c r="K148" s="12">
        <f>IF(A148="","",N(G148)+N(H148)-N(I148)-N(J148))</f>
        <v/>
      </c>
      <c r="L148" s="15" t="n"/>
      <c r="M148" s="12">
        <f>IF(L148="","",L148-K148)</f>
        <v/>
      </c>
      <c r="N148" s="7">
        <f>IF(M148="","",M148*N(E148))</f>
        <v/>
      </c>
      <c r="O148" s="7">
        <f>IF(A148="","",IF(L148="",K148,L148)*N(D148))</f>
        <v/>
      </c>
      <c r="P148" s="7">
        <f>IF(OR(D148="",E148=""),"",E148-D148)</f>
        <v/>
      </c>
      <c r="Q148" s="8">
        <f>IF(OR(N(E148)=0,P148=""),"",P148/E148)</f>
        <v/>
      </c>
      <c r="R148" s="12">
        <f>IF(OR(A148="",F148=""),"",IF(IF(L148="",K148,L148)&lt;=F148,"À COMMANDER","OK"))</f>
        <v/>
      </c>
    </row>
    <row r="149">
      <c r="A149" s="15" t="n"/>
      <c r="B149" s="15" t="n"/>
      <c r="C149" s="15" t="n"/>
      <c r="D149" s="17" t="n"/>
      <c r="E149" s="17" t="n"/>
      <c r="F149" s="15" t="n"/>
      <c r="G149" s="15" t="n"/>
      <c r="H149" s="15" t="n"/>
      <c r="I149" s="15" t="n"/>
      <c r="J149" s="15" t="n"/>
      <c r="K149" s="12">
        <f>IF(A149="","",N(G149)+N(H149)-N(I149)-N(J149))</f>
        <v/>
      </c>
      <c r="L149" s="15" t="n"/>
      <c r="M149" s="12">
        <f>IF(L149="","",L149-K149)</f>
        <v/>
      </c>
      <c r="N149" s="7">
        <f>IF(M149="","",M149*N(E149))</f>
        <v/>
      </c>
      <c r="O149" s="7">
        <f>IF(A149="","",IF(L149="",K149,L149)*N(D149))</f>
        <v/>
      </c>
      <c r="P149" s="7">
        <f>IF(OR(D149="",E149=""),"",E149-D149)</f>
        <v/>
      </c>
      <c r="Q149" s="8">
        <f>IF(OR(N(E149)=0,P149=""),"",P149/E149)</f>
        <v/>
      </c>
      <c r="R149" s="12">
        <f>IF(OR(A149="",F149=""),"",IF(IF(L149="",K149,L149)&lt;=F149,"À COMMANDER","OK"))</f>
        <v/>
      </c>
    </row>
    <row r="150">
      <c r="A150" s="15" t="n"/>
      <c r="B150" s="15" t="n"/>
      <c r="C150" s="15" t="n"/>
      <c r="D150" s="17" t="n"/>
      <c r="E150" s="17" t="n"/>
      <c r="F150" s="15" t="n"/>
      <c r="G150" s="15" t="n"/>
      <c r="H150" s="15" t="n"/>
      <c r="I150" s="15" t="n"/>
      <c r="J150" s="15" t="n"/>
      <c r="K150" s="12">
        <f>IF(A150="","",N(G150)+N(H150)-N(I150)-N(J150))</f>
        <v/>
      </c>
      <c r="L150" s="15" t="n"/>
      <c r="M150" s="12">
        <f>IF(L150="","",L150-K150)</f>
        <v/>
      </c>
      <c r="N150" s="7">
        <f>IF(M150="","",M150*N(E150))</f>
        <v/>
      </c>
      <c r="O150" s="7">
        <f>IF(A150="","",IF(L150="",K150,L150)*N(D150))</f>
        <v/>
      </c>
      <c r="P150" s="7">
        <f>IF(OR(D150="",E150=""),"",E150-D150)</f>
        <v/>
      </c>
      <c r="Q150" s="8">
        <f>IF(OR(N(E150)=0,P150=""),"",P150/E150)</f>
        <v/>
      </c>
      <c r="R150" s="12">
        <f>IF(OR(A150="",F150=""),"",IF(IF(L150="",K150,L150)&lt;=F150,"À COMMANDER","OK"))</f>
        <v/>
      </c>
    </row>
    <row r="151">
      <c r="A151" s="15" t="n"/>
      <c r="B151" s="15" t="n"/>
      <c r="C151" s="15" t="n"/>
      <c r="D151" s="17" t="n"/>
      <c r="E151" s="17" t="n"/>
      <c r="F151" s="15" t="n"/>
      <c r="G151" s="15" t="n"/>
      <c r="H151" s="15" t="n"/>
      <c r="I151" s="15" t="n"/>
      <c r="J151" s="15" t="n"/>
      <c r="K151" s="12">
        <f>IF(A151="","",N(G151)+N(H151)-N(I151)-N(J151))</f>
        <v/>
      </c>
      <c r="L151" s="15" t="n"/>
      <c r="M151" s="12">
        <f>IF(L151="","",L151-K151)</f>
        <v/>
      </c>
      <c r="N151" s="7">
        <f>IF(M151="","",M151*N(E151))</f>
        <v/>
      </c>
      <c r="O151" s="7">
        <f>IF(A151="","",IF(L151="",K151,L151)*N(D151))</f>
        <v/>
      </c>
      <c r="P151" s="7">
        <f>IF(OR(D151="",E151=""),"",E151-D151)</f>
        <v/>
      </c>
      <c r="Q151" s="8">
        <f>IF(OR(N(E151)=0,P151=""),"",P151/E151)</f>
        <v/>
      </c>
      <c r="R151" s="12">
        <f>IF(OR(A151="",F151=""),"",IF(IF(L151="",K151,L151)&lt;=F151,"À COMMANDER","OK"))</f>
        <v/>
      </c>
    </row>
    <row r="152">
      <c r="A152" s="15" t="n"/>
      <c r="B152" s="15" t="n"/>
      <c r="C152" s="15" t="n"/>
      <c r="D152" s="17" t="n"/>
      <c r="E152" s="17" t="n"/>
      <c r="F152" s="15" t="n"/>
      <c r="G152" s="15" t="n"/>
      <c r="H152" s="15" t="n"/>
      <c r="I152" s="15" t="n"/>
      <c r="J152" s="15" t="n"/>
      <c r="K152" s="12">
        <f>IF(A152="","",N(G152)+N(H152)-N(I152)-N(J152))</f>
        <v/>
      </c>
      <c r="L152" s="15" t="n"/>
      <c r="M152" s="12">
        <f>IF(L152="","",L152-K152)</f>
        <v/>
      </c>
      <c r="N152" s="7">
        <f>IF(M152="","",M152*N(E152))</f>
        <v/>
      </c>
      <c r="O152" s="7">
        <f>IF(A152="","",IF(L152="",K152,L152)*N(D152))</f>
        <v/>
      </c>
      <c r="P152" s="7">
        <f>IF(OR(D152="",E152=""),"",E152-D152)</f>
        <v/>
      </c>
      <c r="Q152" s="8">
        <f>IF(OR(N(E152)=0,P152=""),"",P152/E152)</f>
        <v/>
      </c>
      <c r="R152" s="12">
        <f>IF(OR(A152="",F152=""),"",IF(IF(L152="",K152,L152)&lt;=F152,"À COMMANDER","OK"))</f>
        <v/>
      </c>
    </row>
    <row r="153">
      <c r="A153" s="15" t="n"/>
      <c r="B153" s="15" t="n"/>
      <c r="C153" s="15" t="n"/>
      <c r="D153" s="17" t="n"/>
      <c r="E153" s="17" t="n"/>
      <c r="F153" s="15" t="n"/>
      <c r="G153" s="15" t="n"/>
      <c r="H153" s="15" t="n"/>
      <c r="I153" s="15" t="n"/>
      <c r="J153" s="15" t="n"/>
      <c r="K153" s="12">
        <f>IF(A153="","",N(G153)+N(H153)-N(I153)-N(J153))</f>
        <v/>
      </c>
      <c r="L153" s="15" t="n"/>
      <c r="M153" s="12">
        <f>IF(L153="","",L153-K153)</f>
        <v/>
      </c>
      <c r="N153" s="7">
        <f>IF(M153="","",M153*N(E153))</f>
        <v/>
      </c>
      <c r="O153" s="7">
        <f>IF(A153="","",IF(L153="",K153,L153)*N(D153))</f>
        <v/>
      </c>
      <c r="P153" s="7">
        <f>IF(OR(D153="",E153=""),"",E153-D153)</f>
        <v/>
      </c>
      <c r="Q153" s="8">
        <f>IF(OR(N(E153)=0,P153=""),"",P153/E153)</f>
        <v/>
      </c>
      <c r="R153" s="12">
        <f>IF(OR(A153="",F153=""),"",IF(IF(L153="",K153,L153)&lt;=F153,"À COMMANDER","OK"))</f>
        <v/>
      </c>
    </row>
    <row r="154">
      <c r="A154" s="15" t="n"/>
      <c r="B154" s="15" t="n"/>
      <c r="C154" s="15" t="n"/>
      <c r="D154" s="17" t="n"/>
      <c r="E154" s="17" t="n"/>
      <c r="F154" s="15" t="n"/>
      <c r="G154" s="15" t="n"/>
      <c r="H154" s="15" t="n"/>
      <c r="I154" s="15" t="n"/>
      <c r="J154" s="15" t="n"/>
      <c r="K154" s="12">
        <f>IF(A154="","",N(G154)+N(H154)-N(I154)-N(J154))</f>
        <v/>
      </c>
      <c r="L154" s="15" t="n"/>
      <c r="M154" s="12">
        <f>IF(L154="","",L154-K154)</f>
        <v/>
      </c>
      <c r="N154" s="7">
        <f>IF(M154="","",M154*N(E154))</f>
        <v/>
      </c>
      <c r="O154" s="7">
        <f>IF(A154="","",IF(L154="",K154,L154)*N(D154))</f>
        <v/>
      </c>
      <c r="P154" s="7">
        <f>IF(OR(D154="",E154=""),"",E154-D154)</f>
        <v/>
      </c>
      <c r="Q154" s="8">
        <f>IF(OR(N(E154)=0,P154=""),"",P154/E154)</f>
        <v/>
      </c>
      <c r="R154" s="12">
        <f>IF(OR(A154="",F154=""),"",IF(IF(L154="",K154,L154)&lt;=F154,"À COMMANDER","OK"))</f>
        <v/>
      </c>
    </row>
  </sheetData>
  <conditionalFormatting sqref="R5:R154">
    <cfRule type="cellIs" priority="1" operator="equal" dxfId="0">
      <formula>"À COMMANDER"</formula>
    </cfRule>
  </conditionalFormatting>
  <conditionalFormatting sqref="M5:M154">
    <cfRule type="cellIs" priority="2" operator="lessThan" dxfId="1">
      <formula>0</formula>
    </cfRule>
  </conditionalFormatting>
  <dataValidations count="1">
    <dataValidation sqref="B5:B154" showDropDown="0" showInputMessage="0" showErrorMessage="0" allowBlank="1" type="list">
      <formula1>"Bières,Sucreries &amp; eaux,Vins &amp; spiritueux,Cuisine,Emballages"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6" customWidth="1" min="4" max="4"/>
    <col width="30" customWidth="1" min="5" max="5"/>
    <col width="14" customWidth="1" min="6" max="6"/>
    <col width="12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La Tendresse de Ketchup — Crédits clients</t>
        </is>
      </c>
    </row>
    <row r="2">
      <c r="A2" s="2" t="inlineStr">
        <is>
          <t>Crédit exceptionnel, accordé par la Direction uniquement.</t>
        </is>
      </c>
    </row>
    <row r="4" ht="30" customHeight="1">
      <c r="A4" s="5" t="inlineStr">
        <is>
          <t>N°</t>
        </is>
      </c>
      <c r="B4" s="5" t="inlineStr">
        <is>
          <t>Date</t>
        </is>
      </c>
      <c r="C4" s="5" t="inlineStr">
        <is>
          <t>Client</t>
        </is>
      </c>
      <c r="D4" s="5" t="inlineStr">
        <is>
          <t>Téléphone</t>
        </is>
      </c>
      <c r="E4" s="5" t="inlineStr">
        <is>
          <t>Détail</t>
        </is>
      </c>
      <c r="F4" s="5" t="inlineStr">
        <is>
          <t>Montant FCFA</t>
        </is>
      </c>
      <c r="G4" s="5" t="inlineStr">
        <is>
          <t>Échéance</t>
        </is>
      </c>
      <c r="H4" s="5" t="inlineStr">
        <is>
          <t>Remboursé FCFA</t>
        </is>
      </c>
      <c r="I4" s="5" t="inlineStr">
        <is>
          <t>Reste dû FCFA</t>
        </is>
      </c>
      <c r="J4" s="5" t="inlineStr">
        <is>
          <t>Statut</t>
        </is>
      </c>
    </row>
    <row r="5">
      <c r="A5" s="15" t="n"/>
      <c r="B5" s="18" t="n"/>
      <c r="C5" s="15" t="n"/>
      <c r="D5" s="15" t="n"/>
      <c r="E5" s="15" t="n"/>
      <c r="F5" s="17" t="n"/>
      <c r="G5" s="18" t="n"/>
      <c r="H5" s="17" t="n"/>
      <c r="I5" s="7">
        <f>IF(F5="","",F5-N(H5))</f>
        <v/>
      </c>
      <c r="J5" s="12">
        <f>IF(F5="","",IF(I5&lt;=0,"Soldé",IF(AND(G5&lt;&gt;"",TODAY()&gt;G5),"EN RETARD","En cours")))</f>
        <v/>
      </c>
    </row>
    <row r="6">
      <c r="A6" s="15" t="n"/>
      <c r="B6" s="18" t="n"/>
      <c r="C6" s="15" t="n"/>
      <c r="D6" s="15" t="n"/>
      <c r="E6" s="15" t="n"/>
      <c r="F6" s="17" t="n"/>
      <c r="G6" s="18" t="n"/>
      <c r="H6" s="17" t="n"/>
      <c r="I6" s="7">
        <f>IF(F6="","",F6-N(H6))</f>
        <v/>
      </c>
      <c r="J6" s="12">
        <f>IF(F6="","",IF(I6&lt;=0,"Soldé",IF(AND(G6&lt;&gt;"",TODAY()&gt;G6),"EN RETARD","En cours")))</f>
        <v/>
      </c>
    </row>
    <row r="7">
      <c r="A7" s="15" t="n"/>
      <c r="B7" s="18" t="n"/>
      <c r="C7" s="15" t="n"/>
      <c r="D7" s="15" t="n"/>
      <c r="E7" s="15" t="n"/>
      <c r="F7" s="17" t="n"/>
      <c r="G7" s="18" t="n"/>
      <c r="H7" s="17" t="n"/>
      <c r="I7" s="7">
        <f>IF(F7="","",F7-N(H7))</f>
        <v/>
      </c>
      <c r="J7" s="12">
        <f>IF(F7="","",IF(I7&lt;=0,"Soldé",IF(AND(G7&lt;&gt;"",TODAY()&gt;G7),"EN RETARD","En cours")))</f>
        <v/>
      </c>
    </row>
    <row r="8">
      <c r="A8" s="15" t="n"/>
      <c r="B8" s="18" t="n"/>
      <c r="C8" s="15" t="n"/>
      <c r="D8" s="15" t="n"/>
      <c r="E8" s="15" t="n"/>
      <c r="F8" s="17" t="n"/>
      <c r="G8" s="18" t="n"/>
      <c r="H8" s="17" t="n"/>
      <c r="I8" s="7">
        <f>IF(F8="","",F8-N(H8))</f>
        <v/>
      </c>
      <c r="J8" s="12">
        <f>IF(F8="","",IF(I8&lt;=0,"Soldé",IF(AND(G8&lt;&gt;"",TODAY()&gt;G8),"EN RETARD","En cours")))</f>
        <v/>
      </c>
    </row>
    <row r="9">
      <c r="A9" s="15" t="n"/>
      <c r="B9" s="18" t="n"/>
      <c r="C9" s="15" t="n"/>
      <c r="D9" s="15" t="n"/>
      <c r="E9" s="15" t="n"/>
      <c r="F9" s="17" t="n"/>
      <c r="G9" s="18" t="n"/>
      <c r="H9" s="17" t="n"/>
      <c r="I9" s="7">
        <f>IF(F9="","",F9-N(H9))</f>
        <v/>
      </c>
      <c r="J9" s="12">
        <f>IF(F9="","",IF(I9&lt;=0,"Soldé",IF(AND(G9&lt;&gt;"",TODAY()&gt;G9),"EN RETARD","En cours")))</f>
        <v/>
      </c>
    </row>
    <row r="10">
      <c r="A10" s="15" t="n"/>
      <c r="B10" s="18" t="n"/>
      <c r="C10" s="15" t="n"/>
      <c r="D10" s="15" t="n"/>
      <c r="E10" s="15" t="n"/>
      <c r="F10" s="17" t="n"/>
      <c r="G10" s="18" t="n"/>
      <c r="H10" s="17" t="n"/>
      <c r="I10" s="7">
        <f>IF(F10="","",F10-N(H10))</f>
        <v/>
      </c>
      <c r="J10" s="12">
        <f>IF(F10="","",IF(I10&lt;=0,"Soldé",IF(AND(G10&lt;&gt;"",TODAY()&gt;G10),"EN RETARD","En cours")))</f>
        <v/>
      </c>
    </row>
    <row r="11">
      <c r="A11" s="15" t="n"/>
      <c r="B11" s="18" t="n"/>
      <c r="C11" s="15" t="n"/>
      <c r="D11" s="15" t="n"/>
      <c r="E11" s="15" t="n"/>
      <c r="F11" s="17" t="n"/>
      <c r="G11" s="18" t="n"/>
      <c r="H11" s="17" t="n"/>
      <c r="I11" s="7">
        <f>IF(F11="","",F11-N(H11))</f>
        <v/>
      </c>
      <c r="J11" s="12">
        <f>IF(F11="","",IF(I11&lt;=0,"Soldé",IF(AND(G11&lt;&gt;"",TODAY()&gt;G11),"EN RETARD","En cours")))</f>
        <v/>
      </c>
    </row>
    <row r="12">
      <c r="A12" s="15" t="n"/>
      <c r="B12" s="18" t="n"/>
      <c r="C12" s="15" t="n"/>
      <c r="D12" s="15" t="n"/>
      <c r="E12" s="15" t="n"/>
      <c r="F12" s="17" t="n"/>
      <c r="G12" s="18" t="n"/>
      <c r="H12" s="17" t="n"/>
      <c r="I12" s="7">
        <f>IF(F12="","",F12-N(H12))</f>
        <v/>
      </c>
      <c r="J12" s="12">
        <f>IF(F12="","",IF(I12&lt;=0,"Soldé",IF(AND(G12&lt;&gt;"",TODAY()&gt;G12),"EN RETARD","En cours")))</f>
        <v/>
      </c>
    </row>
    <row r="13">
      <c r="A13" s="15" t="n"/>
      <c r="B13" s="18" t="n"/>
      <c r="C13" s="15" t="n"/>
      <c r="D13" s="15" t="n"/>
      <c r="E13" s="15" t="n"/>
      <c r="F13" s="17" t="n"/>
      <c r="G13" s="18" t="n"/>
      <c r="H13" s="17" t="n"/>
      <c r="I13" s="7">
        <f>IF(F13="","",F13-N(H13))</f>
        <v/>
      </c>
      <c r="J13" s="12">
        <f>IF(F13="","",IF(I13&lt;=0,"Soldé",IF(AND(G13&lt;&gt;"",TODAY()&gt;G13),"EN RETARD","En cours")))</f>
        <v/>
      </c>
    </row>
    <row r="14">
      <c r="A14" s="15" t="n"/>
      <c r="B14" s="18" t="n"/>
      <c r="C14" s="15" t="n"/>
      <c r="D14" s="15" t="n"/>
      <c r="E14" s="15" t="n"/>
      <c r="F14" s="17" t="n"/>
      <c r="G14" s="18" t="n"/>
      <c r="H14" s="17" t="n"/>
      <c r="I14" s="7">
        <f>IF(F14="","",F14-N(H14))</f>
        <v/>
      </c>
      <c r="J14" s="12">
        <f>IF(F14="","",IF(I14&lt;=0,"Soldé",IF(AND(G14&lt;&gt;"",TODAY()&gt;G14),"EN RETARD","En cours")))</f>
        <v/>
      </c>
    </row>
    <row r="15">
      <c r="A15" s="15" t="n"/>
      <c r="B15" s="18" t="n"/>
      <c r="C15" s="15" t="n"/>
      <c r="D15" s="15" t="n"/>
      <c r="E15" s="15" t="n"/>
      <c r="F15" s="17" t="n"/>
      <c r="G15" s="18" t="n"/>
      <c r="H15" s="17" t="n"/>
      <c r="I15" s="7">
        <f>IF(F15="","",F15-N(H15))</f>
        <v/>
      </c>
      <c r="J15" s="12">
        <f>IF(F15="","",IF(I15&lt;=0,"Soldé",IF(AND(G15&lt;&gt;"",TODAY()&gt;G15),"EN RETARD","En cours")))</f>
        <v/>
      </c>
    </row>
    <row r="16">
      <c r="A16" s="15" t="n"/>
      <c r="B16" s="18" t="n"/>
      <c r="C16" s="15" t="n"/>
      <c r="D16" s="15" t="n"/>
      <c r="E16" s="15" t="n"/>
      <c r="F16" s="17" t="n"/>
      <c r="G16" s="18" t="n"/>
      <c r="H16" s="17" t="n"/>
      <c r="I16" s="7">
        <f>IF(F16="","",F16-N(H16))</f>
        <v/>
      </c>
      <c r="J16" s="12">
        <f>IF(F16="","",IF(I16&lt;=0,"Soldé",IF(AND(G16&lt;&gt;"",TODAY()&gt;G16),"EN RETARD","En cours")))</f>
        <v/>
      </c>
    </row>
    <row r="17">
      <c r="A17" s="15" t="n"/>
      <c r="B17" s="18" t="n"/>
      <c r="C17" s="15" t="n"/>
      <c r="D17" s="15" t="n"/>
      <c r="E17" s="15" t="n"/>
      <c r="F17" s="17" t="n"/>
      <c r="G17" s="18" t="n"/>
      <c r="H17" s="17" t="n"/>
      <c r="I17" s="7">
        <f>IF(F17="","",F17-N(H17))</f>
        <v/>
      </c>
      <c r="J17" s="12">
        <f>IF(F17="","",IF(I17&lt;=0,"Soldé",IF(AND(G17&lt;&gt;"",TODAY()&gt;G17),"EN RETARD","En cours")))</f>
        <v/>
      </c>
    </row>
    <row r="18">
      <c r="A18" s="15" t="n"/>
      <c r="B18" s="18" t="n"/>
      <c r="C18" s="15" t="n"/>
      <c r="D18" s="15" t="n"/>
      <c r="E18" s="15" t="n"/>
      <c r="F18" s="17" t="n"/>
      <c r="G18" s="18" t="n"/>
      <c r="H18" s="17" t="n"/>
      <c r="I18" s="7">
        <f>IF(F18="","",F18-N(H18))</f>
        <v/>
      </c>
      <c r="J18" s="12">
        <f>IF(F18="","",IF(I18&lt;=0,"Soldé",IF(AND(G18&lt;&gt;"",TODAY()&gt;G18),"EN RETARD","En cours")))</f>
        <v/>
      </c>
    </row>
    <row r="19">
      <c r="A19" s="15" t="n"/>
      <c r="B19" s="18" t="n"/>
      <c r="C19" s="15" t="n"/>
      <c r="D19" s="15" t="n"/>
      <c r="E19" s="15" t="n"/>
      <c r="F19" s="17" t="n"/>
      <c r="G19" s="18" t="n"/>
      <c r="H19" s="17" t="n"/>
      <c r="I19" s="7">
        <f>IF(F19="","",F19-N(H19))</f>
        <v/>
      </c>
      <c r="J19" s="12">
        <f>IF(F19="","",IF(I19&lt;=0,"Soldé",IF(AND(G19&lt;&gt;"",TODAY()&gt;G19),"EN RETARD","En cours")))</f>
        <v/>
      </c>
    </row>
    <row r="20">
      <c r="A20" s="15" t="n"/>
      <c r="B20" s="18" t="n"/>
      <c r="C20" s="15" t="n"/>
      <c r="D20" s="15" t="n"/>
      <c r="E20" s="15" t="n"/>
      <c r="F20" s="17" t="n"/>
      <c r="G20" s="18" t="n"/>
      <c r="H20" s="17" t="n"/>
      <c r="I20" s="7">
        <f>IF(F20="","",F20-N(H20))</f>
        <v/>
      </c>
      <c r="J20" s="12">
        <f>IF(F20="","",IF(I20&lt;=0,"Soldé",IF(AND(G20&lt;&gt;"",TODAY()&gt;G20),"EN RETARD","En cours")))</f>
        <v/>
      </c>
    </row>
    <row r="21">
      <c r="A21" s="15" t="n"/>
      <c r="B21" s="18" t="n"/>
      <c r="C21" s="15" t="n"/>
      <c r="D21" s="15" t="n"/>
      <c r="E21" s="15" t="n"/>
      <c r="F21" s="17" t="n"/>
      <c r="G21" s="18" t="n"/>
      <c r="H21" s="17" t="n"/>
      <c r="I21" s="7">
        <f>IF(F21="","",F21-N(H21))</f>
        <v/>
      </c>
      <c r="J21" s="12">
        <f>IF(F21="","",IF(I21&lt;=0,"Soldé",IF(AND(G21&lt;&gt;"",TODAY()&gt;G21),"EN RETARD","En cours")))</f>
        <v/>
      </c>
    </row>
    <row r="22">
      <c r="A22" s="15" t="n"/>
      <c r="B22" s="18" t="n"/>
      <c r="C22" s="15" t="n"/>
      <c r="D22" s="15" t="n"/>
      <c r="E22" s="15" t="n"/>
      <c r="F22" s="17" t="n"/>
      <c r="G22" s="18" t="n"/>
      <c r="H22" s="17" t="n"/>
      <c r="I22" s="7">
        <f>IF(F22="","",F22-N(H22))</f>
        <v/>
      </c>
      <c r="J22" s="12">
        <f>IF(F22="","",IF(I22&lt;=0,"Soldé",IF(AND(G22&lt;&gt;"",TODAY()&gt;G22),"EN RETARD","En cours")))</f>
        <v/>
      </c>
    </row>
    <row r="23">
      <c r="A23" s="15" t="n"/>
      <c r="B23" s="18" t="n"/>
      <c r="C23" s="15" t="n"/>
      <c r="D23" s="15" t="n"/>
      <c r="E23" s="15" t="n"/>
      <c r="F23" s="17" t="n"/>
      <c r="G23" s="18" t="n"/>
      <c r="H23" s="17" t="n"/>
      <c r="I23" s="7">
        <f>IF(F23="","",F23-N(H23))</f>
        <v/>
      </c>
      <c r="J23" s="12">
        <f>IF(F23="","",IF(I23&lt;=0,"Soldé",IF(AND(G23&lt;&gt;"",TODAY()&gt;G23),"EN RETARD","En cours")))</f>
        <v/>
      </c>
    </row>
    <row r="24">
      <c r="A24" s="15" t="n"/>
      <c r="B24" s="18" t="n"/>
      <c r="C24" s="15" t="n"/>
      <c r="D24" s="15" t="n"/>
      <c r="E24" s="15" t="n"/>
      <c r="F24" s="17" t="n"/>
      <c r="G24" s="18" t="n"/>
      <c r="H24" s="17" t="n"/>
      <c r="I24" s="7">
        <f>IF(F24="","",F24-N(H24))</f>
        <v/>
      </c>
      <c r="J24" s="12">
        <f>IF(F24="","",IF(I24&lt;=0,"Soldé",IF(AND(G24&lt;&gt;"",TODAY()&gt;G24),"EN RETARD","En cours")))</f>
        <v/>
      </c>
    </row>
    <row r="25">
      <c r="A25" s="15" t="n"/>
      <c r="B25" s="18" t="n"/>
      <c r="C25" s="15" t="n"/>
      <c r="D25" s="15" t="n"/>
      <c r="E25" s="15" t="n"/>
      <c r="F25" s="17" t="n"/>
      <c r="G25" s="18" t="n"/>
      <c r="H25" s="17" t="n"/>
      <c r="I25" s="7">
        <f>IF(F25="","",F25-N(H25))</f>
        <v/>
      </c>
      <c r="J25" s="12">
        <f>IF(F25="","",IF(I25&lt;=0,"Soldé",IF(AND(G25&lt;&gt;"",TODAY()&gt;G25),"EN RETARD","En cours")))</f>
        <v/>
      </c>
    </row>
    <row r="26">
      <c r="A26" s="15" t="n"/>
      <c r="B26" s="18" t="n"/>
      <c r="C26" s="15" t="n"/>
      <c r="D26" s="15" t="n"/>
      <c r="E26" s="15" t="n"/>
      <c r="F26" s="17" t="n"/>
      <c r="G26" s="18" t="n"/>
      <c r="H26" s="17" t="n"/>
      <c r="I26" s="7">
        <f>IF(F26="","",F26-N(H26))</f>
        <v/>
      </c>
      <c r="J26" s="12">
        <f>IF(F26="","",IF(I26&lt;=0,"Soldé",IF(AND(G26&lt;&gt;"",TODAY()&gt;G26),"EN RETARD","En cours")))</f>
        <v/>
      </c>
    </row>
    <row r="27">
      <c r="A27" s="15" t="n"/>
      <c r="B27" s="18" t="n"/>
      <c r="C27" s="15" t="n"/>
      <c r="D27" s="15" t="n"/>
      <c r="E27" s="15" t="n"/>
      <c r="F27" s="17" t="n"/>
      <c r="G27" s="18" t="n"/>
      <c r="H27" s="17" t="n"/>
      <c r="I27" s="7">
        <f>IF(F27="","",F27-N(H27))</f>
        <v/>
      </c>
      <c r="J27" s="12">
        <f>IF(F27="","",IF(I27&lt;=0,"Soldé",IF(AND(G27&lt;&gt;"",TODAY()&gt;G27),"EN RETARD","En cours")))</f>
        <v/>
      </c>
    </row>
    <row r="28">
      <c r="A28" s="15" t="n"/>
      <c r="B28" s="18" t="n"/>
      <c r="C28" s="15" t="n"/>
      <c r="D28" s="15" t="n"/>
      <c r="E28" s="15" t="n"/>
      <c r="F28" s="17" t="n"/>
      <c r="G28" s="18" t="n"/>
      <c r="H28" s="17" t="n"/>
      <c r="I28" s="7">
        <f>IF(F28="","",F28-N(H28))</f>
        <v/>
      </c>
      <c r="J28" s="12">
        <f>IF(F28="","",IF(I28&lt;=0,"Soldé",IF(AND(G28&lt;&gt;"",TODAY()&gt;G28),"EN RETARD","En cours")))</f>
        <v/>
      </c>
    </row>
    <row r="29">
      <c r="A29" s="15" t="n"/>
      <c r="B29" s="18" t="n"/>
      <c r="C29" s="15" t="n"/>
      <c r="D29" s="15" t="n"/>
      <c r="E29" s="15" t="n"/>
      <c r="F29" s="17" t="n"/>
      <c r="G29" s="18" t="n"/>
      <c r="H29" s="17" t="n"/>
      <c r="I29" s="7">
        <f>IF(F29="","",F29-N(H29))</f>
        <v/>
      </c>
      <c r="J29" s="12">
        <f>IF(F29="","",IF(I29&lt;=0,"Soldé",IF(AND(G29&lt;&gt;"",TODAY()&gt;G29),"EN RETARD","En cours")))</f>
        <v/>
      </c>
    </row>
    <row r="30">
      <c r="A30" s="15" t="n"/>
      <c r="B30" s="18" t="n"/>
      <c r="C30" s="15" t="n"/>
      <c r="D30" s="15" t="n"/>
      <c r="E30" s="15" t="n"/>
      <c r="F30" s="17" t="n"/>
      <c r="G30" s="18" t="n"/>
      <c r="H30" s="17" t="n"/>
      <c r="I30" s="7">
        <f>IF(F30="","",F30-N(H30))</f>
        <v/>
      </c>
      <c r="J30" s="12">
        <f>IF(F30="","",IF(I30&lt;=0,"Soldé",IF(AND(G30&lt;&gt;"",TODAY()&gt;G30),"EN RETARD","En cours")))</f>
        <v/>
      </c>
    </row>
    <row r="31">
      <c r="A31" s="15" t="n"/>
      <c r="B31" s="18" t="n"/>
      <c r="C31" s="15" t="n"/>
      <c r="D31" s="15" t="n"/>
      <c r="E31" s="15" t="n"/>
      <c r="F31" s="17" t="n"/>
      <c r="G31" s="18" t="n"/>
      <c r="H31" s="17" t="n"/>
      <c r="I31" s="7">
        <f>IF(F31="","",F31-N(H31))</f>
        <v/>
      </c>
      <c r="J31" s="12">
        <f>IF(F31="","",IF(I31&lt;=0,"Soldé",IF(AND(G31&lt;&gt;"",TODAY()&gt;G31),"EN RETARD","En cours")))</f>
        <v/>
      </c>
    </row>
    <row r="32">
      <c r="A32" s="15" t="n"/>
      <c r="B32" s="18" t="n"/>
      <c r="C32" s="15" t="n"/>
      <c r="D32" s="15" t="n"/>
      <c r="E32" s="15" t="n"/>
      <c r="F32" s="17" t="n"/>
      <c r="G32" s="18" t="n"/>
      <c r="H32" s="17" t="n"/>
      <c r="I32" s="7">
        <f>IF(F32="","",F32-N(H32))</f>
        <v/>
      </c>
      <c r="J32" s="12">
        <f>IF(F32="","",IF(I32&lt;=0,"Soldé",IF(AND(G32&lt;&gt;"",TODAY()&gt;G32),"EN RETARD","En cours")))</f>
        <v/>
      </c>
    </row>
    <row r="33">
      <c r="A33" s="15" t="n"/>
      <c r="B33" s="18" t="n"/>
      <c r="C33" s="15" t="n"/>
      <c r="D33" s="15" t="n"/>
      <c r="E33" s="15" t="n"/>
      <c r="F33" s="17" t="n"/>
      <c r="G33" s="18" t="n"/>
      <c r="H33" s="17" t="n"/>
      <c r="I33" s="7">
        <f>IF(F33="","",F33-N(H33))</f>
        <v/>
      </c>
      <c r="J33" s="12">
        <f>IF(F33="","",IF(I33&lt;=0,"Soldé",IF(AND(G33&lt;&gt;"",TODAY()&gt;G33),"EN RETARD","En cours")))</f>
        <v/>
      </c>
    </row>
    <row r="34">
      <c r="A34" s="15" t="n"/>
      <c r="B34" s="18" t="n"/>
      <c r="C34" s="15" t="n"/>
      <c r="D34" s="15" t="n"/>
      <c r="E34" s="15" t="n"/>
      <c r="F34" s="17" t="n"/>
      <c r="G34" s="18" t="n"/>
      <c r="H34" s="17" t="n"/>
      <c r="I34" s="7">
        <f>IF(F34="","",F34-N(H34))</f>
        <v/>
      </c>
      <c r="J34" s="12">
        <f>IF(F34="","",IF(I34&lt;=0,"Soldé",IF(AND(G34&lt;&gt;"",TODAY()&gt;G34),"EN RETARD","En cours")))</f>
        <v/>
      </c>
    </row>
    <row r="35">
      <c r="A35" s="15" t="n"/>
      <c r="B35" s="18" t="n"/>
      <c r="C35" s="15" t="n"/>
      <c r="D35" s="15" t="n"/>
      <c r="E35" s="15" t="n"/>
      <c r="F35" s="17" t="n"/>
      <c r="G35" s="18" t="n"/>
      <c r="H35" s="17" t="n"/>
      <c r="I35" s="7">
        <f>IF(F35="","",F35-N(H35))</f>
        <v/>
      </c>
      <c r="J35" s="12">
        <f>IF(F35="","",IF(I35&lt;=0,"Soldé",IF(AND(G35&lt;&gt;"",TODAY()&gt;G35),"EN RETARD","En cours")))</f>
        <v/>
      </c>
    </row>
    <row r="36">
      <c r="A36" s="15" t="n"/>
      <c r="B36" s="18" t="n"/>
      <c r="C36" s="15" t="n"/>
      <c r="D36" s="15" t="n"/>
      <c r="E36" s="15" t="n"/>
      <c r="F36" s="17" t="n"/>
      <c r="G36" s="18" t="n"/>
      <c r="H36" s="17" t="n"/>
      <c r="I36" s="7">
        <f>IF(F36="","",F36-N(H36))</f>
        <v/>
      </c>
      <c r="J36" s="12">
        <f>IF(F36="","",IF(I36&lt;=0,"Soldé",IF(AND(G36&lt;&gt;"",TODAY()&gt;G36),"EN RETARD","En cours")))</f>
        <v/>
      </c>
    </row>
    <row r="37">
      <c r="A37" s="15" t="n"/>
      <c r="B37" s="18" t="n"/>
      <c r="C37" s="15" t="n"/>
      <c r="D37" s="15" t="n"/>
      <c r="E37" s="15" t="n"/>
      <c r="F37" s="17" t="n"/>
      <c r="G37" s="18" t="n"/>
      <c r="H37" s="17" t="n"/>
      <c r="I37" s="7">
        <f>IF(F37="","",F37-N(H37))</f>
        <v/>
      </c>
      <c r="J37" s="12">
        <f>IF(F37="","",IF(I37&lt;=0,"Soldé",IF(AND(G37&lt;&gt;"",TODAY()&gt;G37),"EN RETARD","En cours")))</f>
        <v/>
      </c>
    </row>
    <row r="38">
      <c r="A38" s="15" t="n"/>
      <c r="B38" s="18" t="n"/>
      <c r="C38" s="15" t="n"/>
      <c r="D38" s="15" t="n"/>
      <c r="E38" s="15" t="n"/>
      <c r="F38" s="17" t="n"/>
      <c r="G38" s="18" t="n"/>
      <c r="H38" s="17" t="n"/>
      <c r="I38" s="7">
        <f>IF(F38="","",F38-N(H38))</f>
        <v/>
      </c>
      <c r="J38" s="12">
        <f>IF(F38="","",IF(I38&lt;=0,"Soldé",IF(AND(G38&lt;&gt;"",TODAY()&gt;G38),"EN RETARD","En cours")))</f>
        <v/>
      </c>
    </row>
    <row r="39">
      <c r="A39" s="15" t="n"/>
      <c r="B39" s="18" t="n"/>
      <c r="C39" s="15" t="n"/>
      <c r="D39" s="15" t="n"/>
      <c r="E39" s="15" t="n"/>
      <c r="F39" s="17" t="n"/>
      <c r="G39" s="18" t="n"/>
      <c r="H39" s="17" t="n"/>
      <c r="I39" s="7">
        <f>IF(F39="","",F39-N(H39))</f>
        <v/>
      </c>
      <c r="J39" s="12">
        <f>IF(F39="","",IF(I39&lt;=0,"Soldé",IF(AND(G39&lt;&gt;"",TODAY()&gt;G39),"EN RETARD","En cours")))</f>
        <v/>
      </c>
    </row>
    <row r="40">
      <c r="A40" s="15" t="n"/>
      <c r="B40" s="18" t="n"/>
      <c r="C40" s="15" t="n"/>
      <c r="D40" s="15" t="n"/>
      <c r="E40" s="15" t="n"/>
      <c r="F40" s="17" t="n"/>
      <c r="G40" s="18" t="n"/>
      <c r="H40" s="17" t="n"/>
      <c r="I40" s="7">
        <f>IF(F40="","",F40-N(H40))</f>
        <v/>
      </c>
      <c r="J40" s="12">
        <f>IF(F40="","",IF(I40&lt;=0,"Soldé",IF(AND(G40&lt;&gt;"",TODAY()&gt;G40),"EN RETARD","En cours")))</f>
        <v/>
      </c>
    </row>
    <row r="41">
      <c r="A41" s="15" t="n"/>
      <c r="B41" s="18" t="n"/>
      <c r="C41" s="15" t="n"/>
      <c r="D41" s="15" t="n"/>
      <c r="E41" s="15" t="n"/>
      <c r="F41" s="17" t="n"/>
      <c r="G41" s="18" t="n"/>
      <c r="H41" s="17" t="n"/>
      <c r="I41" s="7">
        <f>IF(F41="","",F41-N(H41))</f>
        <v/>
      </c>
      <c r="J41" s="12">
        <f>IF(F41="","",IF(I41&lt;=0,"Soldé",IF(AND(G41&lt;&gt;"",TODAY()&gt;G41),"EN RETARD","En cours")))</f>
        <v/>
      </c>
    </row>
    <row r="42">
      <c r="A42" s="15" t="n"/>
      <c r="B42" s="18" t="n"/>
      <c r="C42" s="15" t="n"/>
      <c r="D42" s="15" t="n"/>
      <c r="E42" s="15" t="n"/>
      <c r="F42" s="17" t="n"/>
      <c r="G42" s="18" t="n"/>
      <c r="H42" s="17" t="n"/>
      <c r="I42" s="7">
        <f>IF(F42="","",F42-N(H42))</f>
        <v/>
      </c>
      <c r="J42" s="12">
        <f>IF(F42="","",IF(I42&lt;=0,"Soldé",IF(AND(G42&lt;&gt;"",TODAY()&gt;G42),"EN RETARD","En cours")))</f>
        <v/>
      </c>
    </row>
    <row r="43">
      <c r="A43" s="15" t="n"/>
      <c r="B43" s="18" t="n"/>
      <c r="C43" s="15" t="n"/>
      <c r="D43" s="15" t="n"/>
      <c r="E43" s="15" t="n"/>
      <c r="F43" s="17" t="n"/>
      <c r="G43" s="18" t="n"/>
      <c r="H43" s="17" t="n"/>
      <c r="I43" s="7">
        <f>IF(F43="","",F43-N(H43))</f>
        <v/>
      </c>
      <c r="J43" s="12">
        <f>IF(F43="","",IF(I43&lt;=0,"Soldé",IF(AND(G43&lt;&gt;"",TODAY()&gt;G43),"EN RETARD","En cours")))</f>
        <v/>
      </c>
    </row>
    <row r="44">
      <c r="A44" s="15" t="n"/>
      <c r="B44" s="18" t="n"/>
      <c r="C44" s="15" t="n"/>
      <c r="D44" s="15" t="n"/>
      <c r="E44" s="15" t="n"/>
      <c r="F44" s="17" t="n"/>
      <c r="G44" s="18" t="n"/>
      <c r="H44" s="17" t="n"/>
      <c r="I44" s="7">
        <f>IF(F44="","",F44-N(H44))</f>
        <v/>
      </c>
      <c r="J44" s="12">
        <f>IF(F44="","",IF(I44&lt;=0,"Soldé",IF(AND(G44&lt;&gt;"",TODAY()&gt;G44),"EN RETARD","En cours")))</f>
        <v/>
      </c>
    </row>
    <row r="45">
      <c r="A45" s="15" t="n"/>
      <c r="B45" s="18" t="n"/>
      <c r="C45" s="15" t="n"/>
      <c r="D45" s="15" t="n"/>
      <c r="E45" s="15" t="n"/>
      <c r="F45" s="17" t="n"/>
      <c r="G45" s="18" t="n"/>
      <c r="H45" s="17" t="n"/>
      <c r="I45" s="7">
        <f>IF(F45="","",F45-N(H45))</f>
        <v/>
      </c>
      <c r="J45" s="12">
        <f>IF(F45="","",IF(I45&lt;=0,"Soldé",IF(AND(G45&lt;&gt;"",TODAY()&gt;G45),"EN RETARD","En cours")))</f>
        <v/>
      </c>
    </row>
    <row r="46">
      <c r="A46" s="15" t="n"/>
      <c r="B46" s="18" t="n"/>
      <c r="C46" s="15" t="n"/>
      <c r="D46" s="15" t="n"/>
      <c r="E46" s="15" t="n"/>
      <c r="F46" s="17" t="n"/>
      <c r="G46" s="18" t="n"/>
      <c r="H46" s="17" t="n"/>
      <c r="I46" s="7">
        <f>IF(F46="","",F46-N(H46))</f>
        <v/>
      </c>
      <c r="J46" s="12">
        <f>IF(F46="","",IF(I46&lt;=0,"Soldé",IF(AND(G46&lt;&gt;"",TODAY()&gt;G46),"EN RETARD","En cours")))</f>
        <v/>
      </c>
    </row>
    <row r="47">
      <c r="A47" s="15" t="n"/>
      <c r="B47" s="18" t="n"/>
      <c r="C47" s="15" t="n"/>
      <c r="D47" s="15" t="n"/>
      <c r="E47" s="15" t="n"/>
      <c r="F47" s="17" t="n"/>
      <c r="G47" s="18" t="n"/>
      <c r="H47" s="17" t="n"/>
      <c r="I47" s="7">
        <f>IF(F47="","",F47-N(H47))</f>
        <v/>
      </c>
      <c r="J47" s="12">
        <f>IF(F47="","",IF(I47&lt;=0,"Soldé",IF(AND(G47&lt;&gt;"",TODAY()&gt;G47),"EN RETARD","En cours")))</f>
        <v/>
      </c>
    </row>
    <row r="48">
      <c r="A48" s="15" t="n"/>
      <c r="B48" s="18" t="n"/>
      <c r="C48" s="15" t="n"/>
      <c r="D48" s="15" t="n"/>
      <c r="E48" s="15" t="n"/>
      <c r="F48" s="17" t="n"/>
      <c r="G48" s="18" t="n"/>
      <c r="H48" s="17" t="n"/>
      <c r="I48" s="7">
        <f>IF(F48="","",F48-N(H48))</f>
        <v/>
      </c>
      <c r="J48" s="12">
        <f>IF(F48="","",IF(I48&lt;=0,"Soldé",IF(AND(G48&lt;&gt;"",TODAY()&gt;G48),"EN RETARD","En cours")))</f>
        <v/>
      </c>
    </row>
    <row r="49">
      <c r="A49" s="15" t="n"/>
      <c r="B49" s="18" t="n"/>
      <c r="C49" s="15" t="n"/>
      <c r="D49" s="15" t="n"/>
      <c r="E49" s="15" t="n"/>
      <c r="F49" s="17" t="n"/>
      <c r="G49" s="18" t="n"/>
      <c r="H49" s="17" t="n"/>
      <c r="I49" s="7">
        <f>IF(F49="","",F49-N(H49))</f>
        <v/>
      </c>
      <c r="J49" s="12">
        <f>IF(F49="","",IF(I49&lt;=0,"Soldé",IF(AND(G49&lt;&gt;"",TODAY()&gt;G49),"EN RETARD","En cours")))</f>
        <v/>
      </c>
    </row>
    <row r="50">
      <c r="A50" s="15" t="n"/>
      <c r="B50" s="18" t="n"/>
      <c r="C50" s="15" t="n"/>
      <c r="D50" s="15" t="n"/>
      <c r="E50" s="15" t="n"/>
      <c r="F50" s="17" t="n"/>
      <c r="G50" s="18" t="n"/>
      <c r="H50" s="17" t="n"/>
      <c r="I50" s="7">
        <f>IF(F50="","",F50-N(H50))</f>
        <v/>
      </c>
      <c r="J50" s="12">
        <f>IF(F50="","",IF(I50&lt;=0,"Soldé",IF(AND(G50&lt;&gt;"",TODAY()&gt;G50),"EN RETARD","En cours")))</f>
        <v/>
      </c>
    </row>
    <row r="51">
      <c r="A51" s="15" t="n"/>
      <c r="B51" s="18" t="n"/>
      <c r="C51" s="15" t="n"/>
      <c r="D51" s="15" t="n"/>
      <c r="E51" s="15" t="n"/>
      <c r="F51" s="17" t="n"/>
      <c r="G51" s="18" t="n"/>
      <c r="H51" s="17" t="n"/>
      <c r="I51" s="7">
        <f>IF(F51="","",F51-N(H51))</f>
        <v/>
      </c>
      <c r="J51" s="12">
        <f>IF(F51="","",IF(I51&lt;=0,"Soldé",IF(AND(G51&lt;&gt;"",TODAY()&gt;G51),"EN RETARD","En cours")))</f>
        <v/>
      </c>
    </row>
    <row r="52">
      <c r="A52" s="15" t="n"/>
      <c r="B52" s="18" t="n"/>
      <c r="C52" s="15" t="n"/>
      <c r="D52" s="15" t="n"/>
      <c r="E52" s="15" t="n"/>
      <c r="F52" s="17" t="n"/>
      <c r="G52" s="18" t="n"/>
      <c r="H52" s="17" t="n"/>
      <c r="I52" s="7">
        <f>IF(F52="","",F52-N(H52))</f>
        <v/>
      </c>
      <c r="J52" s="12">
        <f>IF(F52="","",IF(I52&lt;=0,"Soldé",IF(AND(G52&lt;&gt;"",TODAY()&gt;G52),"EN RETARD","En cours")))</f>
        <v/>
      </c>
    </row>
    <row r="53">
      <c r="A53" s="15" t="n"/>
      <c r="B53" s="18" t="n"/>
      <c r="C53" s="15" t="n"/>
      <c r="D53" s="15" t="n"/>
      <c r="E53" s="15" t="n"/>
      <c r="F53" s="17" t="n"/>
      <c r="G53" s="18" t="n"/>
      <c r="H53" s="17" t="n"/>
      <c r="I53" s="7">
        <f>IF(F53="","",F53-N(H53))</f>
        <v/>
      </c>
      <c r="J53" s="12">
        <f>IF(F53="","",IF(I53&lt;=0,"Soldé",IF(AND(G53&lt;&gt;"",TODAY()&gt;G53),"EN RETARD","En cours")))</f>
        <v/>
      </c>
    </row>
    <row r="54">
      <c r="A54" s="15" t="n"/>
      <c r="B54" s="18" t="n"/>
      <c r="C54" s="15" t="n"/>
      <c r="D54" s="15" t="n"/>
      <c r="E54" s="15" t="n"/>
      <c r="F54" s="17" t="n"/>
      <c r="G54" s="18" t="n"/>
      <c r="H54" s="17" t="n"/>
      <c r="I54" s="7">
        <f>IF(F54="","",F54-N(H54))</f>
        <v/>
      </c>
      <c r="J54" s="12">
        <f>IF(F54="","",IF(I54&lt;=0,"Soldé",IF(AND(G54&lt;&gt;"",TODAY()&gt;G54),"EN RETARD","En cours")))</f>
        <v/>
      </c>
    </row>
    <row r="55">
      <c r="A55" s="15" t="n"/>
      <c r="B55" s="18" t="n"/>
      <c r="C55" s="15" t="n"/>
      <c r="D55" s="15" t="n"/>
      <c r="E55" s="15" t="n"/>
      <c r="F55" s="17" t="n"/>
      <c r="G55" s="18" t="n"/>
      <c r="H55" s="17" t="n"/>
      <c r="I55" s="7">
        <f>IF(F55="","",F55-N(H55))</f>
        <v/>
      </c>
      <c r="J55" s="12">
        <f>IF(F55="","",IF(I55&lt;=0,"Soldé",IF(AND(G55&lt;&gt;"",TODAY()&gt;G55),"EN RETARD","En cours")))</f>
        <v/>
      </c>
    </row>
    <row r="56">
      <c r="A56" s="15" t="n"/>
      <c r="B56" s="18" t="n"/>
      <c r="C56" s="15" t="n"/>
      <c r="D56" s="15" t="n"/>
      <c r="E56" s="15" t="n"/>
      <c r="F56" s="17" t="n"/>
      <c r="G56" s="18" t="n"/>
      <c r="H56" s="17" t="n"/>
      <c r="I56" s="7">
        <f>IF(F56="","",F56-N(H56))</f>
        <v/>
      </c>
      <c r="J56" s="12">
        <f>IF(F56="","",IF(I56&lt;=0,"Soldé",IF(AND(G56&lt;&gt;"",TODAY()&gt;G56),"EN RETARD","En cours")))</f>
        <v/>
      </c>
    </row>
    <row r="57">
      <c r="A57" s="15" t="n"/>
      <c r="B57" s="18" t="n"/>
      <c r="C57" s="15" t="n"/>
      <c r="D57" s="15" t="n"/>
      <c r="E57" s="15" t="n"/>
      <c r="F57" s="17" t="n"/>
      <c r="G57" s="18" t="n"/>
      <c r="H57" s="17" t="n"/>
      <c r="I57" s="7">
        <f>IF(F57="","",F57-N(H57))</f>
        <v/>
      </c>
      <c r="J57" s="12">
        <f>IF(F57="","",IF(I57&lt;=0,"Soldé",IF(AND(G57&lt;&gt;"",TODAY()&gt;G57),"EN RETARD","En cours")))</f>
        <v/>
      </c>
    </row>
    <row r="58">
      <c r="A58" s="15" t="n"/>
      <c r="B58" s="18" t="n"/>
      <c r="C58" s="15" t="n"/>
      <c r="D58" s="15" t="n"/>
      <c r="E58" s="15" t="n"/>
      <c r="F58" s="17" t="n"/>
      <c r="G58" s="18" t="n"/>
      <c r="H58" s="17" t="n"/>
      <c r="I58" s="7">
        <f>IF(F58="","",F58-N(H58))</f>
        <v/>
      </c>
      <c r="J58" s="12">
        <f>IF(F58="","",IF(I58&lt;=0,"Soldé",IF(AND(G58&lt;&gt;"",TODAY()&gt;G58),"EN RETARD","En cours")))</f>
        <v/>
      </c>
    </row>
    <row r="59">
      <c r="A59" s="15" t="n"/>
      <c r="B59" s="18" t="n"/>
      <c r="C59" s="15" t="n"/>
      <c r="D59" s="15" t="n"/>
      <c r="E59" s="15" t="n"/>
      <c r="F59" s="17" t="n"/>
      <c r="G59" s="18" t="n"/>
      <c r="H59" s="17" t="n"/>
      <c r="I59" s="7">
        <f>IF(F59="","",F59-N(H59))</f>
        <v/>
      </c>
      <c r="J59" s="12">
        <f>IF(F59="","",IF(I59&lt;=0,"Soldé",IF(AND(G59&lt;&gt;"",TODAY()&gt;G59),"EN RETARD","En cours")))</f>
        <v/>
      </c>
    </row>
    <row r="60">
      <c r="A60" s="15" t="n"/>
      <c r="B60" s="18" t="n"/>
      <c r="C60" s="15" t="n"/>
      <c r="D60" s="15" t="n"/>
      <c r="E60" s="15" t="n"/>
      <c r="F60" s="17" t="n"/>
      <c r="G60" s="18" t="n"/>
      <c r="H60" s="17" t="n"/>
      <c r="I60" s="7">
        <f>IF(F60="","",F60-N(H60))</f>
        <v/>
      </c>
      <c r="J60" s="12">
        <f>IF(F60="","",IF(I60&lt;=0,"Soldé",IF(AND(G60&lt;&gt;"",TODAY()&gt;G60),"EN RETARD","En cours")))</f>
        <v/>
      </c>
    </row>
    <row r="61">
      <c r="A61" s="15" t="n"/>
      <c r="B61" s="18" t="n"/>
      <c r="C61" s="15" t="n"/>
      <c r="D61" s="15" t="n"/>
      <c r="E61" s="15" t="n"/>
      <c r="F61" s="17" t="n"/>
      <c r="G61" s="18" t="n"/>
      <c r="H61" s="17" t="n"/>
      <c r="I61" s="7">
        <f>IF(F61="","",F61-N(H61))</f>
        <v/>
      </c>
      <c r="J61" s="12">
        <f>IF(F61="","",IF(I61&lt;=0,"Soldé",IF(AND(G61&lt;&gt;"",TODAY()&gt;G61),"EN RETARD","En cours")))</f>
        <v/>
      </c>
    </row>
    <row r="62">
      <c r="A62" s="15" t="n"/>
      <c r="B62" s="18" t="n"/>
      <c r="C62" s="15" t="n"/>
      <c r="D62" s="15" t="n"/>
      <c r="E62" s="15" t="n"/>
      <c r="F62" s="17" t="n"/>
      <c r="G62" s="18" t="n"/>
      <c r="H62" s="17" t="n"/>
      <c r="I62" s="7">
        <f>IF(F62="","",F62-N(H62))</f>
        <v/>
      </c>
      <c r="J62" s="12">
        <f>IF(F62="","",IF(I62&lt;=0,"Soldé",IF(AND(G62&lt;&gt;"",TODAY()&gt;G62),"EN RETARD","En cours")))</f>
        <v/>
      </c>
    </row>
    <row r="63">
      <c r="A63" s="15" t="n"/>
      <c r="B63" s="18" t="n"/>
      <c r="C63" s="15" t="n"/>
      <c r="D63" s="15" t="n"/>
      <c r="E63" s="15" t="n"/>
      <c r="F63" s="17" t="n"/>
      <c r="G63" s="18" t="n"/>
      <c r="H63" s="17" t="n"/>
      <c r="I63" s="7">
        <f>IF(F63="","",F63-N(H63))</f>
        <v/>
      </c>
      <c r="J63" s="12">
        <f>IF(F63="","",IF(I63&lt;=0,"Soldé",IF(AND(G63&lt;&gt;"",TODAY()&gt;G63),"EN RETARD","En cours")))</f>
        <v/>
      </c>
    </row>
    <row r="64">
      <c r="A64" s="15" t="n"/>
      <c r="B64" s="18" t="n"/>
      <c r="C64" s="15" t="n"/>
      <c r="D64" s="15" t="n"/>
      <c r="E64" s="15" t="n"/>
      <c r="F64" s="17" t="n"/>
      <c r="G64" s="18" t="n"/>
      <c r="H64" s="17" t="n"/>
      <c r="I64" s="7">
        <f>IF(F64="","",F64-N(H64))</f>
        <v/>
      </c>
      <c r="J64" s="12">
        <f>IF(F64="","",IF(I64&lt;=0,"Soldé",IF(AND(G64&lt;&gt;"",TODAY()&gt;G64),"EN RETARD","En cours")))</f>
        <v/>
      </c>
    </row>
    <row r="65">
      <c r="A65" s="15" t="n"/>
      <c r="B65" s="18" t="n"/>
      <c r="C65" s="15" t="n"/>
      <c r="D65" s="15" t="n"/>
      <c r="E65" s="15" t="n"/>
      <c r="F65" s="17" t="n"/>
      <c r="G65" s="18" t="n"/>
      <c r="H65" s="17" t="n"/>
      <c r="I65" s="7">
        <f>IF(F65="","",F65-N(H65))</f>
        <v/>
      </c>
      <c r="J65" s="12">
        <f>IF(F65="","",IF(I65&lt;=0,"Soldé",IF(AND(G65&lt;&gt;"",TODAY()&gt;G65),"EN RETARD","En cours")))</f>
        <v/>
      </c>
    </row>
    <row r="66">
      <c r="A66" s="15" t="n"/>
      <c r="B66" s="18" t="n"/>
      <c r="C66" s="15" t="n"/>
      <c r="D66" s="15" t="n"/>
      <c r="E66" s="15" t="n"/>
      <c r="F66" s="17" t="n"/>
      <c r="G66" s="18" t="n"/>
      <c r="H66" s="17" t="n"/>
      <c r="I66" s="7">
        <f>IF(F66="","",F66-N(H66))</f>
        <v/>
      </c>
      <c r="J66" s="12">
        <f>IF(F66="","",IF(I66&lt;=0,"Soldé",IF(AND(G66&lt;&gt;"",TODAY()&gt;G66),"EN RETARD","En cours")))</f>
        <v/>
      </c>
    </row>
    <row r="67">
      <c r="A67" s="15" t="n"/>
      <c r="B67" s="18" t="n"/>
      <c r="C67" s="15" t="n"/>
      <c r="D67" s="15" t="n"/>
      <c r="E67" s="15" t="n"/>
      <c r="F67" s="17" t="n"/>
      <c r="G67" s="18" t="n"/>
      <c r="H67" s="17" t="n"/>
      <c r="I67" s="7">
        <f>IF(F67="","",F67-N(H67))</f>
        <v/>
      </c>
      <c r="J67" s="12">
        <f>IF(F67="","",IF(I67&lt;=0,"Soldé",IF(AND(G67&lt;&gt;"",TODAY()&gt;G67),"EN RETARD","En cours")))</f>
        <v/>
      </c>
    </row>
    <row r="68">
      <c r="A68" s="15" t="n"/>
      <c r="B68" s="18" t="n"/>
      <c r="C68" s="15" t="n"/>
      <c r="D68" s="15" t="n"/>
      <c r="E68" s="15" t="n"/>
      <c r="F68" s="17" t="n"/>
      <c r="G68" s="18" t="n"/>
      <c r="H68" s="17" t="n"/>
      <c r="I68" s="7">
        <f>IF(F68="","",F68-N(H68))</f>
        <v/>
      </c>
      <c r="J68" s="12">
        <f>IF(F68="","",IF(I68&lt;=0,"Soldé",IF(AND(G68&lt;&gt;"",TODAY()&gt;G68),"EN RETARD","En cours")))</f>
        <v/>
      </c>
    </row>
    <row r="69">
      <c r="A69" s="15" t="n"/>
      <c r="B69" s="18" t="n"/>
      <c r="C69" s="15" t="n"/>
      <c r="D69" s="15" t="n"/>
      <c r="E69" s="15" t="n"/>
      <c r="F69" s="17" t="n"/>
      <c r="G69" s="18" t="n"/>
      <c r="H69" s="17" t="n"/>
      <c r="I69" s="7">
        <f>IF(F69="","",F69-N(H69))</f>
        <v/>
      </c>
      <c r="J69" s="12">
        <f>IF(F69="","",IF(I69&lt;=0,"Soldé",IF(AND(G69&lt;&gt;"",TODAY()&gt;G69),"EN RETARD","En cours")))</f>
        <v/>
      </c>
    </row>
    <row r="70">
      <c r="A70" s="15" t="n"/>
      <c r="B70" s="18" t="n"/>
      <c r="C70" s="15" t="n"/>
      <c r="D70" s="15" t="n"/>
      <c r="E70" s="15" t="n"/>
      <c r="F70" s="17" t="n"/>
      <c r="G70" s="18" t="n"/>
      <c r="H70" s="17" t="n"/>
      <c r="I70" s="7">
        <f>IF(F70="","",F70-N(H70))</f>
        <v/>
      </c>
      <c r="J70" s="12">
        <f>IF(F70="","",IF(I70&lt;=0,"Soldé",IF(AND(G70&lt;&gt;"",TODAY()&gt;G70),"EN RETARD","En cours")))</f>
        <v/>
      </c>
    </row>
    <row r="71">
      <c r="A71" s="15" t="n"/>
      <c r="B71" s="18" t="n"/>
      <c r="C71" s="15" t="n"/>
      <c r="D71" s="15" t="n"/>
      <c r="E71" s="15" t="n"/>
      <c r="F71" s="17" t="n"/>
      <c r="G71" s="18" t="n"/>
      <c r="H71" s="17" t="n"/>
      <c r="I71" s="7">
        <f>IF(F71="","",F71-N(H71))</f>
        <v/>
      </c>
      <c r="J71" s="12">
        <f>IF(F71="","",IF(I71&lt;=0,"Soldé",IF(AND(G71&lt;&gt;"",TODAY()&gt;G71),"EN RETARD","En cours")))</f>
        <v/>
      </c>
    </row>
    <row r="72">
      <c r="A72" s="15" t="n"/>
      <c r="B72" s="18" t="n"/>
      <c r="C72" s="15" t="n"/>
      <c r="D72" s="15" t="n"/>
      <c r="E72" s="15" t="n"/>
      <c r="F72" s="17" t="n"/>
      <c r="G72" s="18" t="n"/>
      <c r="H72" s="17" t="n"/>
      <c r="I72" s="7">
        <f>IF(F72="","",F72-N(H72))</f>
        <v/>
      </c>
      <c r="J72" s="12">
        <f>IF(F72="","",IF(I72&lt;=0,"Soldé",IF(AND(G72&lt;&gt;"",TODAY()&gt;G72),"EN RETARD","En cours")))</f>
        <v/>
      </c>
    </row>
    <row r="73">
      <c r="A73" s="15" t="n"/>
      <c r="B73" s="18" t="n"/>
      <c r="C73" s="15" t="n"/>
      <c r="D73" s="15" t="n"/>
      <c r="E73" s="15" t="n"/>
      <c r="F73" s="17" t="n"/>
      <c r="G73" s="18" t="n"/>
      <c r="H73" s="17" t="n"/>
      <c r="I73" s="7">
        <f>IF(F73="","",F73-N(H73))</f>
        <v/>
      </c>
      <c r="J73" s="12">
        <f>IF(F73="","",IF(I73&lt;=0,"Soldé",IF(AND(G73&lt;&gt;"",TODAY()&gt;G73),"EN RETARD","En cours")))</f>
        <v/>
      </c>
    </row>
    <row r="74">
      <c r="A74" s="15" t="n"/>
      <c r="B74" s="18" t="n"/>
      <c r="C74" s="15" t="n"/>
      <c r="D74" s="15" t="n"/>
      <c r="E74" s="15" t="n"/>
      <c r="F74" s="17" t="n"/>
      <c r="G74" s="18" t="n"/>
      <c r="H74" s="17" t="n"/>
      <c r="I74" s="7">
        <f>IF(F74="","",F74-N(H74))</f>
        <v/>
      </c>
      <c r="J74" s="12">
        <f>IF(F74="","",IF(I74&lt;=0,"Soldé",IF(AND(G74&lt;&gt;"",TODAY()&gt;G74),"EN RETARD","En cours")))</f>
        <v/>
      </c>
    </row>
    <row r="75">
      <c r="A75" s="15" t="n"/>
      <c r="B75" s="18" t="n"/>
      <c r="C75" s="15" t="n"/>
      <c r="D75" s="15" t="n"/>
      <c r="E75" s="15" t="n"/>
      <c r="F75" s="17" t="n"/>
      <c r="G75" s="18" t="n"/>
      <c r="H75" s="17" t="n"/>
      <c r="I75" s="7">
        <f>IF(F75="","",F75-N(H75))</f>
        <v/>
      </c>
      <c r="J75" s="12">
        <f>IF(F75="","",IF(I75&lt;=0,"Soldé",IF(AND(G75&lt;&gt;"",TODAY()&gt;G75),"EN RETARD","En cours")))</f>
        <v/>
      </c>
    </row>
    <row r="76">
      <c r="A76" s="15" t="n"/>
      <c r="B76" s="18" t="n"/>
      <c r="C76" s="15" t="n"/>
      <c r="D76" s="15" t="n"/>
      <c r="E76" s="15" t="n"/>
      <c r="F76" s="17" t="n"/>
      <c r="G76" s="18" t="n"/>
      <c r="H76" s="17" t="n"/>
      <c r="I76" s="7">
        <f>IF(F76="","",F76-N(H76))</f>
        <v/>
      </c>
      <c r="J76" s="12">
        <f>IF(F76="","",IF(I76&lt;=0,"Soldé",IF(AND(G76&lt;&gt;"",TODAY()&gt;G76),"EN RETARD","En cours")))</f>
        <v/>
      </c>
    </row>
    <row r="77">
      <c r="A77" s="15" t="n"/>
      <c r="B77" s="18" t="n"/>
      <c r="C77" s="15" t="n"/>
      <c r="D77" s="15" t="n"/>
      <c r="E77" s="15" t="n"/>
      <c r="F77" s="17" t="n"/>
      <c r="G77" s="18" t="n"/>
      <c r="H77" s="17" t="n"/>
      <c r="I77" s="7">
        <f>IF(F77="","",F77-N(H77))</f>
        <v/>
      </c>
      <c r="J77" s="12">
        <f>IF(F77="","",IF(I77&lt;=0,"Soldé",IF(AND(G77&lt;&gt;"",TODAY()&gt;G77),"EN RETARD","En cours")))</f>
        <v/>
      </c>
    </row>
    <row r="78">
      <c r="A78" s="15" t="n"/>
      <c r="B78" s="18" t="n"/>
      <c r="C78" s="15" t="n"/>
      <c r="D78" s="15" t="n"/>
      <c r="E78" s="15" t="n"/>
      <c r="F78" s="17" t="n"/>
      <c r="G78" s="18" t="n"/>
      <c r="H78" s="17" t="n"/>
      <c r="I78" s="7">
        <f>IF(F78="","",F78-N(H78))</f>
        <v/>
      </c>
      <c r="J78" s="12">
        <f>IF(F78="","",IF(I78&lt;=0,"Soldé",IF(AND(G78&lt;&gt;"",TODAY()&gt;G78),"EN RETARD","En cours")))</f>
        <v/>
      </c>
    </row>
    <row r="79">
      <c r="A79" s="15" t="n"/>
      <c r="B79" s="18" t="n"/>
      <c r="C79" s="15" t="n"/>
      <c r="D79" s="15" t="n"/>
      <c r="E79" s="15" t="n"/>
      <c r="F79" s="17" t="n"/>
      <c r="G79" s="18" t="n"/>
      <c r="H79" s="17" t="n"/>
      <c r="I79" s="7">
        <f>IF(F79="","",F79-N(H79))</f>
        <v/>
      </c>
      <c r="J79" s="12">
        <f>IF(F79="","",IF(I79&lt;=0,"Soldé",IF(AND(G79&lt;&gt;"",TODAY()&gt;G79),"EN RETARD","En cours")))</f>
        <v/>
      </c>
    </row>
    <row r="80">
      <c r="A80" s="15" t="n"/>
      <c r="B80" s="18" t="n"/>
      <c r="C80" s="15" t="n"/>
      <c r="D80" s="15" t="n"/>
      <c r="E80" s="15" t="n"/>
      <c r="F80" s="17" t="n"/>
      <c r="G80" s="18" t="n"/>
      <c r="H80" s="17" t="n"/>
      <c r="I80" s="7">
        <f>IF(F80="","",F80-N(H80))</f>
        <v/>
      </c>
      <c r="J80" s="12">
        <f>IF(F80="","",IF(I80&lt;=0,"Soldé",IF(AND(G80&lt;&gt;"",TODAY()&gt;G80),"EN RETARD","En cours")))</f>
        <v/>
      </c>
    </row>
    <row r="81">
      <c r="A81" s="15" t="n"/>
      <c r="B81" s="18" t="n"/>
      <c r="C81" s="15" t="n"/>
      <c r="D81" s="15" t="n"/>
      <c r="E81" s="15" t="n"/>
      <c r="F81" s="17" t="n"/>
      <c r="G81" s="18" t="n"/>
      <c r="H81" s="17" t="n"/>
      <c r="I81" s="7">
        <f>IF(F81="","",F81-N(H81))</f>
        <v/>
      </c>
      <c r="J81" s="12">
        <f>IF(F81="","",IF(I81&lt;=0,"Soldé",IF(AND(G81&lt;&gt;"",TODAY()&gt;G81),"EN RETARD","En cours")))</f>
        <v/>
      </c>
    </row>
    <row r="82">
      <c r="A82" s="15" t="n"/>
      <c r="B82" s="18" t="n"/>
      <c r="C82" s="15" t="n"/>
      <c r="D82" s="15" t="n"/>
      <c r="E82" s="15" t="n"/>
      <c r="F82" s="17" t="n"/>
      <c r="G82" s="18" t="n"/>
      <c r="H82" s="17" t="n"/>
      <c r="I82" s="7">
        <f>IF(F82="","",F82-N(H82))</f>
        <v/>
      </c>
      <c r="J82" s="12">
        <f>IF(F82="","",IF(I82&lt;=0,"Soldé",IF(AND(G82&lt;&gt;"",TODAY()&gt;G82),"EN RETARD","En cours")))</f>
        <v/>
      </c>
    </row>
    <row r="83">
      <c r="A83" s="15" t="n"/>
      <c r="B83" s="18" t="n"/>
      <c r="C83" s="15" t="n"/>
      <c r="D83" s="15" t="n"/>
      <c r="E83" s="15" t="n"/>
      <c r="F83" s="17" t="n"/>
      <c r="G83" s="18" t="n"/>
      <c r="H83" s="17" t="n"/>
      <c r="I83" s="7">
        <f>IF(F83="","",F83-N(H83))</f>
        <v/>
      </c>
      <c r="J83" s="12">
        <f>IF(F83="","",IF(I83&lt;=0,"Soldé",IF(AND(G83&lt;&gt;"",TODAY()&gt;G83),"EN RETARD","En cours")))</f>
        <v/>
      </c>
    </row>
    <row r="84">
      <c r="A84" s="15" t="n"/>
      <c r="B84" s="18" t="n"/>
      <c r="C84" s="15" t="n"/>
      <c r="D84" s="15" t="n"/>
      <c r="E84" s="15" t="n"/>
      <c r="F84" s="17" t="n"/>
      <c r="G84" s="18" t="n"/>
      <c r="H84" s="17" t="n"/>
      <c r="I84" s="7">
        <f>IF(F84="","",F84-N(H84))</f>
        <v/>
      </c>
      <c r="J84" s="12">
        <f>IF(F84="","",IF(I84&lt;=0,"Soldé",IF(AND(G84&lt;&gt;"",TODAY()&gt;G84),"EN RETARD","En cours")))</f>
        <v/>
      </c>
    </row>
    <row r="85">
      <c r="A85" s="15" t="n"/>
      <c r="B85" s="18" t="n"/>
      <c r="C85" s="15" t="n"/>
      <c r="D85" s="15" t="n"/>
      <c r="E85" s="15" t="n"/>
      <c r="F85" s="17" t="n"/>
      <c r="G85" s="18" t="n"/>
      <c r="H85" s="17" t="n"/>
      <c r="I85" s="7">
        <f>IF(F85="","",F85-N(H85))</f>
        <v/>
      </c>
      <c r="J85" s="12">
        <f>IF(F85="","",IF(I85&lt;=0,"Soldé",IF(AND(G85&lt;&gt;"",TODAY()&gt;G85),"EN RETARD","En cours")))</f>
        <v/>
      </c>
    </row>
    <row r="86">
      <c r="A86" s="15" t="n"/>
      <c r="B86" s="18" t="n"/>
      <c r="C86" s="15" t="n"/>
      <c r="D86" s="15" t="n"/>
      <c r="E86" s="15" t="n"/>
      <c r="F86" s="17" t="n"/>
      <c r="G86" s="18" t="n"/>
      <c r="H86" s="17" t="n"/>
      <c r="I86" s="7">
        <f>IF(F86="","",F86-N(H86))</f>
        <v/>
      </c>
      <c r="J86" s="12">
        <f>IF(F86="","",IF(I86&lt;=0,"Soldé",IF(AND(G86&lt;&gt;"",TODAY()&gt;G86),"EN RETARD","En cours")))</f>
        <v/>
      </c>
    </row>
    <row r="87">
      <c r="A87" s="15" t="n"/>
      <c r="B87" s="18" t="n"/>
      <c r="C87" s="15" t="n"/>
      <c r="D87" s="15" t="n"/>
      <c r="E87" s="15" t="n"/>
      <c r="F87" s="17" t="n"/>
      <c r="G87" s="18" t="n"/>
      <c r="H87" s="17" t="n"/>
      <c r="I87" s="7">
        <f>IF(F87="","",F87-N(H87))</f>
        <v/>
      </c>
      <c r="J87" s="12">
        <f>IF(F87="","",IF(I87&lt;=0,"Soldé",IF(AND(G87&lt;&gt;"",TODAY()&gt;G87),"EN RETARD","En cours")))</f>
        <v/>
      </c>
    </row>
    <row r="88">
      <c r="A88" s="15" t="n"/>
      <c r="B88" s="18" t="n"/>
      <c r="C88" s="15" t="n"/>
      <c r="D88" s="15" t="n"/>
      <c r="E88" s="15" t="n"/>
      <c r="F88" s="17" t="n"/>
      <c r="G88" s="18" t="n"/>
      <c r="H88" s="17" t="n"/>
      <c r="I88" s="7">
        <f>IF(F88="","",F88-N(H88))</f>
        <v/>
      </c>
      <c r="J88" s="12">
        <f>IF(F88="","",IF(I88&lt;=0,"Soldé",IF(AND(G88&lt;&gt;"",TODAY()&gt;G88),"EN RETARD","En cours")))</f>
        <v/>
      </c>
    </row>
    <row r="89">
      <c r="A89" s="15" t="n"/>
      <c r="B89" s="18" t="n"/>
      <c r="C89" s="15" t="n"/>
      <c r="D89" s="15" t="n"/>
      <c r="E89" s="15" t="n"/>
      <c r="F89" s="17" t="n"/>
      <c r="G89" s="18" t="n"/>
      <c r="H89" s="17" t="n"/>
      <c r="I89" s="7">
        <f>IF(F89="","",F89-N(H89))</f>
        <v/>
      </c>
      <c r="J89" s="12">
        <f>IF(F89="","",IF(I89&lt;=0,"Soldé",IF(AND(G89&lt;&gt;"",TODAY()&gt;G89),"EN RETARD","En cours")))</f>
        <v/>
      </c>
    </row>
    <row r="90">
      <c r="A90" s="15" t="n"/>
      <c r="B90" s="18" t="n"/>
      <c r="C90" s="15" t="n"/>
      <c r="D90" s="15" t="n"/>
      <c r="E90" s="15" t="n"/>
      <c r="F90" s="17" t="n"/>
      <c r="G90" s="18" t="n"/>
      <c r="H90" s="17" t="n"/>
      <c r="I90" s="7">
        <f>IF(F90="","",F90-N(H90))</f>
        <v/>
      </c>
      <c r="J90" s="12">
        <f>IF(F90="","",IF(I90&lt;=0,"Soldé",IF(AND(G90&lt;&gt;"",TODAY()&gt;G90),"EN RETARD","En cours")))</f>
        <v/>
      </c>
    </row>
    <row r="91">
      <c r="A91" s="15" t="n"/>
      <c r="B91" s="18" t="n"/>
      <c r="C91" s="15" t="n"/>
      <c r="D91" s="15" t="n"/>
      <c r="E91" s="15" t="n"/>
      <c r="F91" s="17" t="n"/>
      <c r="G91" s="18" t="n"/>
      <c r="H91" s="17" t="n"/>
      <c r="I91" s="7">
        <f>IF(F91="","",F91-N(H91))</f>
        <v/>
      </c>
      <c r="J91" s="12">
        <f>IF(F91="","",IF(I91&lt;=0,"Soldé",IF(AND(G91&lt;&gt;"",TODAY()&gt;G91),"EN RETARD","En cours")))</f>
        <v/>
      </c>
    </row>
    <row r="92">
      <c r="A92" s="15" t="n"/>
      <c r="B92" s="18" t="n"/>
      <c r="C92" s="15" t="n"/>
      <c r="D92" s="15" t="n"/>
      <c r="E92" s="15" t="n"/>
      <c r="F92" s="17" t="n"/>
      <c r="G92" s="18" t="n"/>
      <c r="H92" s="17" t="n"/>
      <c r="I92" s="7">
        <f>IF(F92="","",F92-N(H92))</f>
        <v/>
      </c>
      <c r="J92" s="12">
        <f>IF(F92="","",IF(I92&lt;=0,"Soldé",IF(AND(G92&lt;&gt;"",TODAY()&gt;G92),"EN RETARD","En cours")))</f>
        <v/>
      </c>
    </row>
    <row r="93">
      <c r="A93" s="15" t="n"/>
      <c r="B93" s="18" t="n"/>
      <c r="C93" s="15" t="n"/>
      <c r="D93" s="15" t="n"/>
      <c r="E93" s="15" t="n"/>
      <c r="F93" s="17" t="n"/>
      <c r="G93" s="18" t="n"/>
      <c r="H93" s="17" t="n"/>
      <c r="I93" s="7">
        <f>IF(F93="","",F93-N(H93))</f>
        <v/>
      </c>
      <c r="J93" s="12">
        <f>IF(F93="","",IF(I93&lt;=0,"Soldé",IF(AND(G93&lt;&gt;"",TODAY()&gt;G93),"EN RETARD","En cours")))</f>
        <v/>
      </c>
    </row>
    <row r="94">
      <c r="A94" s="15" t="n"/>
      <c r="B94" s="18" t="n"/>
      <c r="C94" s="15" t="n"/>
      <c r="D94" s="15" t="n"/>
      <c r="E94" s="15" t="n"/>
      <c r="F94" s="17" t="n"/>
      <c r="G94" s="18" t="n"/>
      <c r="H94" s="17" t="n"/>
      <c r="I94" s="7">
        <f>IF(F94="","",F94-N(H94))</f>
        <v/>
      </c>
      <c r="J94" s="12">
        <f>IF(F94="","",IF(I94&lt;=0,"Soldé",IF(AND(G94&lt;&gt;"",TODAY()&gt;G94),"EN RETARD","En cours")))</f>
        <v/>
      </c>
    </row>
    <row r="95">
      <c r="A95" s="15" t="n"/>
      <c r="B95" s="18" t="n"/>
      <c r="C95" s="15" t="n"/>
      <c r="D95" s="15" t="n"/>
      <c r="E95" s="15" t="n"/>
      <c r="F95" s="17" t="n"/>
      <c r="G95" s="18" t="n"/>
      <c r="H95" s="17" t="n"/>
      <c r="I95" s="7">
        <f>IF(F95="","",F95-N(H95))</f>
        <v/>
      </c>
      <c r="J95" s="12">
        <f>IF(F95="","",IF(I95&lt;=0,"Soldé",IF(AND(G95&lt;&gt;"",TODAY()&gt;G95),"EN RETARD","En cours")))</f>
        <v/>
      </c>
    </row>
    <row r="96">
      <c r="A96" s="15" t="n"/>
      <c r="B96" s="18" t="n"/>
      <c r="C96" s="15" t="n"/>
      <c r="D96" s="15" t="n"/>
      <c r="E96" s="15" t="n"/>
      <c r="F96" s="17" t="n"/>
      <c r="G96" s="18" t="n"/>
      <c r="H96" s="17" t="n"/>
      <c r="I96" s="7">
        <f>IF(F96="","",F96-N(H96))</f>
        <v/>
      </c>
      <c r="J96" s="12">
        <f>IF(F96="","",IF(I96&lt;=0,"Soldé",IF(AND(G96&lt;&gt;"",TODAY()&gt;G96),"EN RETARD","En cours")))</f>
        <v/>
      </c>
    </row>
    <row r="97">
      <c r="A97" s="15" t="n"/>
      <c r="B97" s="18" t="n"/>
      <c r="C97" s="15" t="n"/>
      <c r="D97" s="15" t="n"/>
      <c r="E97" s="15" t="n"/>
      <c r="F97" s="17" t="n"/>
      <c r="G97" s="18" t="n"/>
      <c r="H97" s="17" t="n"/>
      <c r="I97" s="7">
        <f>IF(F97="","",F97-N(H97))</f>
        <v/>
      </c>
      <c r="J97" s="12">
        <f>IF(F97="","",IF(I97&lt;=0,"Soldé",IF(AND(G97&lt;&gt;"",TODAY()&gt;G97),"EN RETARD","En cours")))</f>
        <v/>
      </c>
    </row>
    <row r="98">
      <c r="A98" s="15" t="n"/>
      <c r="B98" s="18" t="n"/>
      <c r="C98" s="15" t="n"/>
      <c r="D98" s="15" t="n"/>
      <c r="E98" s="15" t="n"/>
      <c r="F98" s="17" t="n"/>
      <c r="G98" s="18" t="n"/>
      <c r="H98" s="17" t="n"/>
      <c r="I98" s="7">
        <f>IF(F98="","",F98-N(H98))</f>
        <v/>
      </c>
      <c r="J98" s="12">
        <f>IF(F98="","",IF(I98&lt;=0,"Soldé",IF(AND(G98&lt;&gt;"",TODAY()&gt;G98),"EN RETARD","En cours")))</f>
        <v/>
      </c>
    </row>
    <row r="99">
      <c r="A99" s="15" t="n"/>
      <c r="B99" s="18" t="n"/>
      <c r="C99" s="15" t="n"/>
      <c r="D99" s="15" t="n"/>
      <c r="E99" s="15" t="n"/>
      <c r="F99" s="17" t="n"/>
      <c r="G99" s="18" t="n"/>
      <c r="H99" s="17" t="n"/>
      <c r="I99" s="7">
        <f>IF(F99="","",F99-N(H99))</f>
        <v/>
      </c>
      <c r="J99" s="12">
        <f>IF(F99="","",IF(I99&lt;=0,"Soldé",IF(AND(G99&lt;&gt;"",TODAY()&gt;G99),"EN RETARD","En cours")))</f>
        <v/>
      </c>
    </row>
    <row r="100">
      <c r="A100" s="15" t="n"/>
      <c r="B100" s="18" t="n"/>
      <c r="C100" s="15" t="n"/>
      <c r="D100" s="15" t="n"/>
      <c r="E100" s="15" t="n"/>
      <c r="F100" s="17" t="n"/>
      <c r="G100" s="18" t="n"/>
      <c r="H100" s="17" t="n"/>
      <c r="I100" s="7">
        <f>IF(F100="","",F100-N(H100))</f>
        <v/>
      </c>
      <c r="J100" s="12">
        <f>IF(F100="","",IF(I100&lt;=0,"Soldé",IF(AND(G100&lt;&gt;"",TODAY()&gt;G100),"EN RETARD","En cours")))</f>
        <v/>
      </c>
    </row>
    <row r="101">
      <c r="A101" s="15" t="n"/>
      <c r="B101" s="18" t="n"/>
      <c r="C101" s="15" t="n"/>
      <c r="D101" s="15" t="n"/>
      <c r="E101" s="15" t="n"/>
      <c r="F101" s="17" t="n"/>
      <c r="G101" s="18" t="n"/>
      <c r="H101" s="17" t="n"/>
      <c r="I101" s="7">
        <f>IF(F101="","",F101-N(H101))</f>
        <v/>
      </c>
      <c r="J101" s="12">
        <f>IF(F101="","",IF(I101&lt;=0,"Soldé",IF(AND(G101&lt;&gt;"",TODAY()&gt;G101),"EN RETARD","En cours")))</f>
        <v/>
      </c>
    </row>
    <row r="102">
      <c r="A102" s="15" t="n"/>
      <c r="B102" s="18" t="n"/>
      <c r="C102" s="15" t="n"/>
      <c r="D102" s="15" t="n"/>
      <c r="E102" s="15" t="n"/>
      <c r="F102" s="17" t="n"/>
      <c r="G102" s="18" t="n"/>
      <c r="H102" s="17" t="n"/>
      <c r="I102" s="7">
        <f>IF(F102="","",F102-N(H102))</f>
        <v/>
      </c>
      <c r="J102" s="12">
        <f>IF(F102="","",IF(I102&lt;=0,"Soldé",IF(AND(G102&lt;&gt;"",TODAY()&gt;G102),"EN RETARD","En cours")))</f>
        <v/>
      </c>
    </row>
    <row r="103">
      <c r="A103" s="15" t="n"/>
      <c r="B103" s="18" t="n"/>
      <c r="C103" s="15" t="n"/>
      <c r="D103" s="15" t="n"/>
      <c r="E103" s="15" t="n"/>
      <c r="F103" s="17" t="n"/>
      <c r="G103" s="18" t="n"/>
      <c r="H103" s="17" t="n"/>
      <c r="I103" s="7">
        <f>IF(F103="","",F103-N(H103))</f>
        <v/>
      </c>
      <c r="J103" s="12">
        <f>IF(F103="","",IF(I103&lt;=0,"Soldé",IF(AND(G103&lt;&gt;"",TODAY()&gt;G103),"EN RETARD","En cours")))</f>
        <v/>
      </c>
    </row>
    <row r="104">
      <c r="A104" s="15" t="n"/>
      <c r="B104" s="18" t="n"/>
      <c r="C104" s="15" t="n"/>
      <c r="D104" s="15" t="n"/>
      <c r="E104" s="15" t="n"/>
      <c r="F104" s="17" t="n"/>
      <c r="G104" s="18" t="n"/>
      <c r="H104" s="17" t="n"/>
      <c r="I104" s="7">
        <f>IF(F104="","",F104-N(H104))</f>
        <v/>
      </c>
      <c r="J104" s="12">
        <f>IF(F104="","",IF(I104&lt;=0,"Soldé",IF(AND(G104&lt;&gt;"",TODAY()&gt;G104),"EN RETARD","En cours")))</f>
        <v/>
      </c>
    </row>
    <row r="105">
      <c r="A105" s="15" t="n"/>
      <c r="B105" s="18" t="n"/>
      <c r="C105" s="15" t="n"/>
      <c r="D105" s="15" t="n"/>
      <c r="E105" s="15" t="n"/>
      <c r="F105" s="17" t="n"/>
      <c r="G105" s="18" t="n"/>
      <c r="H105" s="17" t="n"/>
      <c r="I105" s="7">
        <f>IF(F105="","",F105-N(H105))</f>
        <v/>
      </c>
      <c r="J105" s="12">
        <f>IF(F105="","",IF(I105&lt;=0,"Soldé",IF(AND(G105&lt;&gt;"",TODAY()&gt;G105),"EN RETARD","En cours")))</f>
        <v/>
      </c>
    </row>
    <row r="106">
      <c r="A106" s="15" t="n"/>
      <c r="B106" s="18" t="n"/>
      <c r="C106" s="15" t="n"/>
      <c r="D106" s="15" t="n"/>
      <c r="E106" s="15" t="n"/>
      <c r="F106" s="17" t="n"/>
      <c r="G106" s="18" t="n"/>
      <c r="H106" s="17" t="n"/>
      <c r="I106" s="7">
        <f>IF(F106="","",F106-N(H106))</f>
        <v/>
      </c>
      <c r="J106" s="12">
        <f>IF(F106="","",IF(I106&lt;=0,"Soldé",IF(AND(G106&lt;&gt;"",TODAY()&gt;G106),"EN RETARD","En cours")))</f>
        <v/>
      </c>
    </row>
    <row r="107">
      <c r="A107" s="15" t="n"/>
      <c r="B107" s="18" t="n"/>
      <c r="C107" s="15" t="n"/>
      <c r="D107" s="15" t="n"/>
      <c r="E107" s="15" t="n"/>
      <c r="F107" s="17" t="n"/>
      <c r="G107" s="18" t="n"/>
      <c r="H107" s="17" t="n"/>
      <c r="I107" s="7">
        <f>IF(F107="","",F107-N(H107))</f>
        <v/>
      </c>
      <c r="J107" s="12">
        <f>IF(F107="","",IF(I107&lt;=0,"Soldé",IF(AND(G107&lt;&gt;"",TODAY()&gt;G107),"EN RETARD","En cours")))</f>
        <v/>
      </c>
    </row>
    <row r="108">
      <c r="A108" s="15" t="n"/>
      <c r="B108" s="18" t="n"/>
      <c r="C108" s="15" t="n"/>
      <c r="D108" s="15" t="n"/>
      <c r="E108" s="15" t="n"/>
      <c r="F108" s="17" t="n"/>
      <c r="G108" s="18" t="n"/>
      <c r="H108" s="17" t="n"/>
      <c r="I108" s="7">
        <f>IF(F108="","",F108-N(H108))</f>
        <v/>
      </c>
      <c r="J108" s="12">
        <f>IF(F108="","",IF(I108&lt;=0,"Soldé",IF(AND(G108&lt;&gt;"",TODAY()&gt;G108),"EN RETARD","En cours")))</f>
        <v/>
      </c>
    </row>
    <row r="109">
      <c r="A109" s="15" t="n"/>
      <c r="B109" s="18" t="n"/>
      <c r="C109" s="15" t="n"/>
      <c r="D109" s="15" t="n"/>
      <c r="E109" s="15" t="n"/>
      <c r="F109" s="17" t="n"/>
      <c r="G109" s="18" t="n"/>
      <c r="H109" s="17" t="n"/>
      <c r="I109" s="7">
        <f>IF(F109="","",F109-N(H109))</f>
        <v/>
      </c>
      <c r="J109" s="12">
        <f>IF(F109="","",IF(I109&lt;=0,"Soldé",IF(AND(G109&lt;&gt;"",TODAY()&gt;G109),"EN RETARD","En cours")))</f>
        <v/>
      </c>
    </row>
    <row r="110">
      <c r="A110" s="15" t="n"/>
      <c r="B110" s="18" t="n"/>
      <c r="C110" s="15" t="n"/>
      <c r="D110" s="15" t="n"/>
      <c r="E110" s="15" t="n"/>
      <c r="F110" s="17" t="n"/>
      <c r="G110" s="18" t="n"/>
      <c r="H110" s="17" t="n"/>
      <c r="I110" s="7">
        <f>IF(F110="","",F110-N(H110))</f>
        <v/>
      </c>
      <c r="J110" s="12">
        <f>IF(F110="","",IF(I110&lt;=0,"Soldé",IF(AND(G110&lt;&gt;"",TODAY()&gt;G110),"EN RETARD","En cours")))</f>
        <v/>
      </c>
    </row>
    <row r="111">
      <c r="A111" s="15" t="n"/>
      <c r="B111" s="18" t="n"/>
      <c r="C111" s="15" t="n"/>
      <c r="D111" s="15" t="n"/>
      <c r="E111" s="15" t="n"/>
      <c r="F111" s="17" t="n"/>
      <c r="G111" s="18" t="n"/>
      <c r="H111" s="17" t="n"/>
      <c r="I111" s="7">
        <f>IF(F111="","",F111-N(H111))</f>
        <v/>
      </c>
      <c r="J111" s="12">
        <f>IF(F111="","",IF(I111&lt;=0,"Soldé",IF(AND(G111&lt;&gt;"",TODAY()&gt;G111),"EN RETARD","En cours")))</f>
        <v/>
      </c>
    </row>
    <row r="112">
      <c r="A112" s="15" t="n"/>
      <c r="B112" s="18" t="n"/>
      <c r="C112" s="15" t="n"/>
      <c r="D112" s="15" t="n"/>
      <c r="E112" s="15" t="n"/>
      <c r="F112" s="17" t="n"/>
      <c r="G112" s="18" t="n"/>
      <c r="H112" s="17" t="n"/>
      <c r="I112" s="7">
        <f>IF(F112="","",F112-N(H112))</f>
        <v/>
      </c>
      <c r="J112" s="12">
        <f>IF(F112="","",IF(I112&lt;=0,"Soldé",IF(AND(G112&lt;&gt;"",TODAY()&gt;G112),"EN RETARD","En cours")))</f>
        <v/>
      </c>
    </row>
    <row r="113">
      <c r="A113" s="15" t="n"/>
      <c r="B113" s="18" t="n"/>
      <c r="C113" s="15" t="n"/>
      <c r="D113" s="15" t="n"/>
      <c r="E113" s="15" t="n"/>
      <c r="F113" s="17" t="n"/>
      <c r="G113" s="18" t="n"/>
      <c r="H113" s="17" t="n"/>
      <c r="I113" s="7">
        <f>IF(F113="","",F113-N(H113))</f>
        <v/>
      </c>
      <c r="J113" s="12">
        <f>IF(F113="","",IF(I113&lt;=0,"Soldé",IF(AND(G113&lt;&gt;"",TODAY()&gt;G113),"EN RETARD","En cours")))</f>
        <v/>
      </c>
    </row>
    <row r="114">
      <c r="A114" s="15" t="n"/>
      <c r="B114" s="18" t="n"/>
      <c r="C114" s="15" t="n"/>
      <c r="D114" s="15" t="n"/>
      <c r="E114" s="15" t="n"/>
      <c r="F114" s="17" t="n"/>
      <c r="G114" s="18" t="n"/>
      <c r="H114" s="17" t="n"/>
      <c r="I114" s="7">
        <f>IF(F114="","",F114-N(H114))</f>
        <v/>
      </c>
      <c r="J114" s="12">
        <f>IF(F114="","",IF(I114&lt;=0,"Soldé",IF(AND(G114&lt;&gt;"",TODAY()&gt;G114),"EN RETARD","En cours")))</f>
        <v/>
      </c>
    </row>
    <row r="115">
      <c r="A115" s="15" t="n"/>
      <c r="B115" s="18" t="n"/>
      <c r="C115" s="15" t="n"/>
      <c r="D115" s="15" t="n"/>
      <c r="E115" s="15" t="n"/>
      <c r="F115" s="17" t="n"/>
      <c r="G115" s="18" t="n"/>
      <c r="H115" s="17" t="n"/>
      <c r="I115" s="7">
        <f>IF(F115="","",F115-N(H115))</f>
        <v/>
      </c>
      <c r="J115" s="12">
        <f>IF(F115="","",IF(I115&lt;=0,"Soldé",IF(AND(G115&lt;&gt;"",TODAY()&gt;G115),"EN RETARD","En cours")))</f>
        <v/>
      </c>
    </row>
    <row r="116">
      <c r="A116" s="15" t="n"/>
      <c r="B116" s="18" t="n"/>
      <c r="C116" s="15" t="n"/>
      <c r="D116" s="15" t="n"/>
      <c r="E116" s="15" t="n"/>
      <c r="F116" s="17" t="n"/>
      <c r="G116" s="18" t="n"/>
      <c r="H116" s="17" t="n"/>
      <c r="I116" s="7">
        <f>IF(F116="","",F116-N(H116))</f>
        <v/>
      </c>
      <c r="J116" s="12">
        <f>IF(F116="","",IF(I116&lt;=0,"Soldé",IF(AND(G116&lt;&gt;"",TODAY()&gt;G116),"EN RETARD","En cours")))</f>
        <v/>
      </c>
    </row>
    <row r="117">
      <c r="A117" s="15" t="n"/>
      <c r="B117" s="18" t="n"/>
      <c r="C117" s="15" t="n"/>
      <c r="D117" s="15" t="n"/>
      <c r="E117" s="15" t="n"/>
      <c r="F117" s="17" t="n"/>
      <c r="G117" s="18" t="n"/>
      <c r="H117" s="17" t="n"/>
      <c r="I117" s="7">
        <f>IF(F117="","",F117-N(H117))</f>
        <v/>
      </c>
      <c r="J117" s="12">
        <f>IF(F117="","",IF(I117&lt;=0,"Soldé",IF(AND(G117&lt;&gt;"",TODAY()&gt;G117),"EN RETARD","En cours")))</f>
        <v/>
      </c>
    </row>
    <row r="118">
      <c r="A118" s="15" t="n"/>
      <c r="B118" s="18" t="n"/>
      <c r="C118" s="15" t="n"/>
      <c r="D118" s="15" t="n"/>
      <c r="E118" s="15" t="n"/>
      <c r="F118" s="17" t="n"/>
      <c r="G118" s="18" t="n"/>
      <c r="H118" s="17" t="n"/>
      <c r="I118" s="7">
        <f>IF(F118="","",F118-N(H118))</f>
        <v/>
      </c>
      <c r="J118" s="12">
        <f>IF(F118="","",IF(I118&lt;=0,"Soldé",IF(AND(G118&lt;&gt;"",TODAY()&gt;G118),"EN RETARD","En cours")))</f>
        <v/>
      </c>
    </row>
    <row r="119">
      <c r="A119" s="15" t="n"/>
      <c r="B119" s="18" t="n"/>
      <c r="C119" s="15" t="n"/>
      <c r="D119" s="15" t="n"/>
      <c r="E119" s="15" t="n"/>
      <c r="F119" s="17" t="n"/>
      <c r="G119" s="18" t="n"/>
      <c r="H119" s="17" t="n"/>
      <c r="I119" s="7">
        <f>IF(F119="","",F119-N(H119))</f>
        <v/>
      </c>
      <c r="J119" s="12">
        <f>IF(F119="","",IF(I119&lt;=0,"Soldé",IF(AND(G119&lt;&gt;"",TODAY()&gt;G119),"EN RETARD","En cours")))</f>
        <v/>
      </c>
    </row>
    <row r="120">
      <c r="A120" s="15" t="n"/>
      <c r="B120" s="18" t="n"/>
      <c r="C120" s="15" t="n"/>
      <c r="D120" s="15" t="n"/>
      <c r="E120" s="15" t="n"/>
      <c r="F120" s="17" t="n"/>
      <c r="G120" s="18" t="n"/>
      <c r="H120" s="17" t="n"/>
      <c r="I120" s="7">
        <f>IF(F120="","",F120-N(H120))</f>
        <v/>
      </c>
      <c r="J120" s="12">
        <f>IF(F120="","",IF(I120&lt;=0,"Soldé",IF(AND(G120&lt;&gt;"",TODAY()&gt;G120),"EN RETARD","En cours")))</f>
        <v/>
      </c>
    </row>
    <row r="121">
      <c r="A121" s="15" t="n"/>
      <c r="B121" s="18" t="n"/>
      <c r="C121" s="15" t="n"/>
      <c r="D121" s="15" t="n"/>
      <c r="E121" s="15" t="n"/>
      <c r="F121" s="17" t="n"/>
      <c r="G121" s="18" t="n"/>
      <c r="H121" s="17" t="n"/>
      <c r="I121" s="7">
        <f>IF(F121="","",F121-N(H121))</f>
        <v/>
      </c>
      <c r="J121" s="12">
        <f>IF(F121="","",IF(I121&lt;=0,"Soldé",IF(AND(G121&lt;&gt;"",TODAY()&gt;G121),"EN RETARD","En cours")))</f>
        <v/>
      </c>
    </row>
    <row r="122">
      <c r="A122" s="15" t="n"/>
      <c r="B122" s="18" t="n"/>
      <c r="C122" s="15" t="n"/>
      <c r="D122" s="15" t="n"/>
      <c r="E122" s="15" t="n"/>
      <c r="F122" s="17" t="n"/>
      <c r="G122" s="18" t="n"/>
      <c r="H122" s="17" t="n"/>
      <c r="I122" s="7">
        <f>IF(F122="","",F122-N(H122))</f>
        <v/>
      </c>
      <c r="J122" s="12">
        <f>IF(F122="","",IF(I122&lt;=0,"Soldé",IF(AND(G122&lt;&gt;"",TODAY()&gt;G122),"EN RETARD","En cours")))</f>
        <v/>
      </c>
    </row>
    <row r="123">
      <c r="A123" s="15" t="n"/>
      <c r="B123" s="18" t="n"/>
      <c r="C123" s="15" t="n"/>
      <c r="D123" s="15" t="n"/>
      <c r="E123" s="15" t="n"/>
      <c r="F123" s="17" t="n"/>
      <c r="G123" s="18" t="n"/>
      <c r="H123" s="17" t="n"/>
      <c r="I123" s="7">
        <f>IF(F123="","",F123-N(H123))</f>
        <v/>
      </c>
      <c r="J123" s="12">
        <f>IF(F123="","",IF(I123&lt;=0,"Soldé",IF(AND(G123&lt;&gt;"",TODAY()&gt;G123),"EN RETARD","En cours")))</f>
        <v/>
      </c>
    </row>
    <row r="124">
      <c r="A124" s="15" t="n"/>
      <c r="B124" s="18" t="n"/>
      <c r="C124" s="15" t="n"/>
      <c r="D124" s="15" t="n"/>
      <c r="E124" s="15" t="n"/>
      <c r="F124" s="17" t="n"/>
      <c r="G124" s="18" t="n"/>
      <c r="H124" s="17" t="n"/>
      <c r="I124" s="7">
        <f>IF(F124="","",F124-N(H124))</f>
        <v/>
      </c>
      <c r="J124" s="12">
        <f>IF(F124="","",IF(I124&lt;=0,"Soldé",IF(AND(G124&lt;&gt;"",TODAY()&gt;G124),"EN RETARD","En cours")))</f>
        <v/>
      </c>
    </row>
    <row r="125">
      <c r="A125" s="15" t="n"/>
      <c r="B125" s="18" t="n"/>
      <c r="C125" s="15" t="n"/>
      <c r="D125" s="15" t="n"/>
      <c r="E125" s="15" t="n"/>
      <c r="F125" s="17" t="n"/>
      <c r="G125" s="18" t="n"/>
      <c r="H125" s="17" t="n"/>
      <c r="I125" s="7">
        <f>IF(F125="","",F125-N(H125))</f>
        <v/>
      </c>
      <c r="J125" s="12">
        <f>IF(F125="","",IF(I125&lt;=0,"Soldé",IF(AND(G125&lt;&gt;"",TODAY()&gt;G125),"EN RETARD","En cours")))</f>
        <v/>
      </c>
    </row>
    <row r="126">
      <c r="A126" s="15" t="n"/>
      <c r="B126" s="18" t="n"/>
      <c r="C126" s="15" t="n"/>
      <c r="D126" s="15" t="n"/>
      <c r="E126" s="15" t="n"/>
      <c r="F126" s="17" t="n"/>
      <c r="G126" s="18" t="n"/>
      <c r="H126" s="17" t="n"/>
      <c r="I126" s="7">
        <f>IF(F126="","",F126-N(H126))</f>
        <v/>
      </c>
      <c r="J126" s="12">
        <f>IF(F126="","",IF(I126&lt;=0,"Soldé",IF(AND(G126&lt;&gt;"",TODAY()&gt;G126),"EN RETARD","En cours")))</f>
        <v/>
      </c>
    </row>
    <row r="127">
      <c r="A127" s="15" t="n"/>
      <c r="B127" s="18" t="n"/>
      <c r="C127" s="15" t="n"/>
      <c r="D127" s="15" t="n"/>
      <c r="E127" s="15" t="n"/>
      <c r="F127" s="17" t="n"/>
      <c r="G127" s="18" t="n"/>
      <c r="H127" s="17" t="n"/>
      <c r="I127" s="7">
        <f>IF(F127="","",F127-N(H127))</f>
        <v/>
      </c>
      <c r="J127" s="12">
        <f>IF(F127="","",IF(I127&lt;=0,"Soldé",IF(AND(G127&lt;&gt;"",TODAY()&gt;G127),"EN RETARD","En cours")))</f>
        <v/>
      </c>
    </row>
    <row r="128">
      <c r="A128" s="15" t="n"/>
      <c r="B128" s="18" t="n"/>
      <c r="C128" s="15" t="n"/>
      <c r="D128" s="15" t="n"/>
      <c r="E128" s="15" t="n"/>
      <c r="F128" s="17" t="n"/>
      <c r="G128" s="18" t="n"/>
      <c r="H128" s="17" t="n"/>
      <c r="I128" s="7">
        <f>IF(F128="","",F128-N(H128))</f>
        <v/>
      </c>
      <c r="J128" s="12">
        <f>IF(F128="","",IF(I128&lt;=0,"Soldé",IF(AND(G128&lt;&gt;"",TODAY()&gt;G128),"EN RETARD","En cours")))</f>
        <v/>
      </c>
    </row>
    <row r="129">
      <c r="A129" s="15" t="n"/>
      <c r="B129" s="18" t="n"/>
      <c r="C129" s="15" t="n"/>
      <c r="D129" s="15" t="n"/>
      <c r="E129" s="15" t="n"/>
      <c r="F129" s="17" t="n"/>
      <c r="G129" s="18" t="n"/>
      <c r="H129" s="17" t="n"/>
      <c r="I129" s="7">
        <f>IF(F129="","",F129-N(H129))</f>
        <v/>
      </c>
      <c r="J129" s="12">
        <f>IF(F129="","",IF(I129&lt;=0,"Soldé",IF(AND(G129&lt;&gt;"",TODAY()&gt;G129),"EN RETARD","En cours")))</f>
        <v/>
      </c>
    </row>
    <row r="130">
      <c r="A130" s="15" t="n"/>
      <c r="B130" s="18" t="n"/>
      <c r="C130" s="15" t="n"/>
      <c r="D130" s="15" t="n"/>
      <c r="E130" s="15" t="n"/>
      <c r="F130" s="17" t="n"/>
      <c r="G130" s="18" t="n"/>
      <c r="H130" s="17" t="n"/>
      <c r="I130" s="7">
        <f>IF(F130="","",F130-N(H130))</f>
        <v/>
      </c>
      <c r="J130" s="12">
        <f>IF(F130="","",IF(I130&lt;=0,"Soldé",IF(AND(G130&lt;&gt;"",TODAY()&gt;G130),"EN RETARD","En cours")))</f>
        <v/>
      </c>
    </row>
    <row r="131">
      <c r="A131" s="15" t="n"/>
      <c r="B131" s="18" t="n"/>
      <c r="C131" s="15" t="n"/>
      <c r="D131" s="15" t="n"/>
      <c r="E131" s="15" t="n"/>
      <c r="F131" s="17" t="n"/>
      <c r="G131" s="18" t="n"/>
      <c r="H131" s="17" t="n"/>
      <c r="I131" s="7">
        <f>IF(F131="","",F131-N(H131))</f>
        <v/>
      </c>
      <c r="J131" s="12">
        <f>IF(F131="","",IF(I131&lt;=0,"Soldé",IF(AND(G131&lt;&gt;"",TODAY()&gt;G131),"EN RETARD","En cours")))</f>
        <v/>
      </c>
    </row>
    <row r="132">
      <c r="A132" s="15" t="n"/>
      <c r="B132" s="18" t="n"/>
      <c r="C132" s="15" t="n"/>
      <c r="D132" s="15" t="n"/>
      <c r="E132" s="15" t="n"/>
      <c r="F132" s="17" t="n"/>
      <c r="G132" s="18" t="n"/>
      <c r="H132" s="17" t="n"/>
      <c r="I132" s="7">
        <f>IF(F132="","",F132-N(H132))</f>
        <v/>
      </c>
      <c r="J132" s="12">
        <f>IF(F132="","",IF(I132&lt;=0,"Soldé",IF(AND(G132&lt;&gt;"",TODAY()&gt;G132),"EN RETARD","En cours")))</f>
        <v/>
      </c>
    </row>
    <row r="133">
      <c r="A133" s="15" t="n"/>
      <c r="B133" s="18" t="n"/>
      <c r="C133" s="15" t="n"/>
      <c r="D133" s="15" t="n"/>
      <c r="E133" s="15" t="n"/>
      <c r="F133" s="17" t="n"/>
      <c r="G133" s="18" t="n"/>
      <c r="H133" s="17" t="n"/>
      <c r="I133" s="7">
        <f>IF(F133="","",F133-N(H133))</f>
        <v/>
      </c>
      <c r="J133" s="12">
        <f>IF(F133="","",IF(I133&lt;=0,"Soldé",IF(AND(G133&lt;&gt;"",TODAY()&gt;G133),"EN RETARD","En cours")))</f>
        <v/>
      </c>
    </row>
    <row r="134">
      <c r="A134" s="15" t="n"/>
      <c r="B134" s="18" t="n"/>
      <c r="C134" s="15" t="n"/>
      <c r="D134" s="15" t="n"/>
      <c r="E134" s="15" t="n"/>
      <c r="F134" s="17" t="n"/>
      <c r="G134" s="18" t="n"/>
      <c r="H134" s="17" t="n"/>
      <c r="I134" s="7">
        <f>IF(F134="","",F134-N(H134))</f>
        <v/>
      </c>
      <c r="J134" s="12">
        <f>IF(F134="","",IF(I134&lt;=0,"Soldé",IF(AND(G134&lt;&gt;"",TODAY()&gt;G134),"EN RETARD","En cours")))</f>
        <v/>
      </c>
    </row>
    <row r="135">
      <c r="A135" s="15" t="n"/>
      <c r="B135" s="18" t="n"/>
      <c r="C135" s="15" t="n"/>
      <c r="D135" s="15" t="n"/>
      <c r="E135" s="15" t="n"/>
      <c r="F135" s="17" t="n"/>
      <c r="G135" s="18" t="n"/>
      <c r="H135" s="17" t="n"/>
      <c r="I135" s="7">
        <f>IF(F135="","",F135-N(H135))</f>
        <v/>
      </c>
      <c r="J135" s="12">
        <f>IF(F135="","",IF(I135&lt;=0,"Soldé",IF(AND(G135&lt;&gt;"",TODAY()&gt;G135),"EN RETARD","En cours")))</f>
        <v/>
      </c>
    </row>
    <row r="136">
      <c r="A136" s="15" t="n"/>
      <c r="B136" s="18" t="n"/>
      <c r="C136" s="15" t="n"/>
      <c r="D136" s="15" t="n"/>
      <c r="E136" s="15" t="n"/>
      <c r="F136" s="17" t="n"/>
      <c r="G136" s="18" t="n"/>
      <c r="H136" s="17" t="n"/>
      <c r="I136" s="7">
        <f>IF(F136="","",F136-N(H136))</f>
        <v/>
      </c>
      <c r="J136" s="12">
        <f>IF(F136="","",IF(I136&lt;=0,"Soldé",IF(AND(G136&lt;&gt;"",TODAY()&gt;G136),"EN RETARD","En cours")))</f>
        <v/>
      </c>
    </row>
    <row r="137">
      <c r="A137" s="15" t="n"/>
      <c r="B137" s="18" t="n"/>
      <c r="C137" s="15" t="n"/>
      <c r="D137" s="15" t="n"/>
      <c r="E137" s="15" t="n"/>
      <c r="F137" s="17" t="n"/>
      <c r="G137" s="18" t="n"/>
      <c r="H137" s="17" t="n"/>
      <c r="I137" s="7">
        <f>IF(F137="","",F137-N(H137))</f>
        <v/>
      </c>
      <c r="J137" s="12">
        <f>IF(F137="","",IF(I137&lt;=0,"Soldé",IF(AND(G137&lt;&gt;"",TODAY()&gt;G137),"EN RETARD","En cours")))</f>
        <v/>
      </c>
    </row>
    <row r="138">
      <c r="A138" s="15" t="n"/>
      <c r="B138" s="18" t="n"/>
      <c r="C138" s="15" t="n"/>
      <c r="D138" s="15" t="n"/>
      <c r="E138" s="15" t="n"/>
      <c r="F138" s="17" t="n"/>
      <c r="G138" s="18" t="n"/>
      <c r="H138" s="17" t="n"/>
      <c r="I138" s="7">
        <f>IF(F138="","",F138-N(H138))</f>
        <v/>
      </c>
      <c r="J138" s="12">
        <f>IF(F138="","",IF(I138&lt;=0,"Soldé",IF(AND(G138&lt;&gt;"",TODAY()&gt;G138),"EN RETARD","En cours")))</f>
        <v/>
      </c>
    </row>
    <row r="139">
      <c r="A139" s="15" t="n"/>
      <c r="B139" s="18" t="n"/>
      <c r="C139" s="15" t="n"/>
      <c r="D139" s="15" t="n"/>
      <c r="E139" s="15" t="n"/>
      <c r="F139" s="17" t="n"/>
      <c r="G139" s="18" t="n"/>
      <c r="H139" s="17" t="n"/>
      <c r="I139" s="7">
        <f>IF(F139="","",F139-N(H139))</f>
        <v/>
      </c>
      <c r="J139" s="12">
        <f>IF(F139="","",IF(I139&lt;=0,"Soldé",IF(AND(G139&lt;&gt;"",TODAY()&gt;G139),"EN RETARD","En cours")))</f>
        <v/>
      </c>
    </row>
    <row r="140">
      <c r="A140" s="15" t="n"/>
      <c r="B140" s="18" t="n"/>
      <c r="C140" s="15" t="n"/>
      <c r="D140" s="15" t="n"/>
      <c r="E140" s="15" t="n"/>
      <c r="F140" s="17" t="n"/>
      <c r="G140" s="18" t="n"/>
      <c r="H140" s="17" t="n"/>
      <c r="I140" s="7">
        <f>IF(F140="","",F140-N(H140))</f>
        <v/>
      </c>
      <c r="J140" s="12">
        <f>IF(F140="","",IF(I140&lt;=0,"Soldé",IF(AND(G140&lt;&gt;"",TODAY()&gt;G140),"EN RETARD","En cours")))</f>
        <v/>
      </c>
    </row>
    <row r="141">
      <c r="A141" s="15" t="n"/>
      <c r="B141" s="18" t="n"/>
      <c r="C141" s="15" t="n"/>
      <c r="D141" s="15" t="n"/>
      <c r="E141" s="15" t="n"/>
      <c r="F141" s="17" t="n"/>
      <c r="G141" s="18" t="n"/>
      <c r="H141" s="17" t="n"/>
      <c r="I141" s="7">
        <f>IF(F141="","",F141-N(H141))</f>
        <v/>
      </c>
      <c r="J141" s="12">
        <f>IF(F141="","",IF(I141&lt;=0,"Soldé",IF(AND(G141&lt;&gt;"",TODAY()&gt;G141),"EN RETARD","En cours")))</f>
        <v/>
      </c>
    </row>
    <row r="142">
      <c r="A142" s="15" t="n"/>
      <c r="B142" s="18" t="n"/>
      <c r="C142" s="15" t="n"/>
      <c r="D142" s="15" t="n"/>
      <c r="E142" s="15" t="n"/>
      <c r="F142" s="17" t="n"/>
      <c r="G142" s="18" t="n"/>
      <c r="H142" s="17" t="n"/>
      <c r="I142" s="7">
        <f>IF(F142="","",F142-N(H142))</f>
        <v/>
      </c>
      <c r="J142" s="12">
        <f>IF(F142="","",IF(I142&lt;=0,"Soldé",IF(AND(G142&lt;&gt;"",TODAY()&gt;G142),"EN RETARD","En cours")))</f>
        <v/>
      </c>
    </row>
    <row r="143">
      <c r="A143" s="15" t="n"/>
      <c r="B143" s="18" t="n"/>
      <c r="C143" s="15" t="n"/>
      <c r="D143" s="15" t="n"/>
      <c r="E143" s="15" t="n"/>
      <c r="F143" s="17" t="n"/>
      <c r="G143" s="18" t="n"/>
      <c r="H143" s="17" t="n"/>
      <c r="I143" s="7">
        <f>IF(F143="","",F143-N(H143))</f>
        <v/>
      </c>
      <c r="J143" s="12">
        <f>IF(F143="","",IF(I143&lt;=0,"Soldé",IF(AND(G143&lt;&gt;"",TODAY()&gt;G143),"EN RETARD","En cours")))</f>
        <v/>
      </c>
    </row>
    <row r="144">
      <c r="A144" s="15" t="n"/>
      <c r="B144" s="18" t="n"/>
      <c r="C144" s="15" t="n"/>
      <c r="D144" s="15" t="n"/>
      <c r="E144" s="15" t="n"/>
      <c r="F144" s="17" t="n"/>
      <c r="G144" s="18" t="n"/>
      <c r="H144" s="17" t="n"/>
      <c r="I144" s="7">
        <f>IF(F144="","",F144-N(H144))</f>
        <v/>
      </c>
      <c r="J144" s="12">
        <f>IF(F144="","",IF(I144&lt;=0,"Soldé",IF(AND(G144&lt;&gt;"",TODAY()&gt;G144),"EN RETARD","En cours")))</f>
        <v/>
      </c>
    </row>
    <row r="145">
      <c r="A145" s="15" t="n"/>
      <c r="B145" s="18" t="n"/>
      <c r="C145" s="15" t="n"/>
      <c r="D145" s="15" t="n"/>
      <c r="E145" s="15" t="n"/>
      <c r="F145" s="17" t="n"/>
      <c r="G145" s="18" t="n"/>
      <c r="H145" s="17" t="n"/>
      <c r="I145" s="7">
        <f>IF(F145="","",F145-N(H145))</f>
        <v/>
      </c>
      <c r="J145" s="12">
        <f>IF(F145="","",IF(I145&lt;=0,"Soldé",IF(AND(G145&lt;&gt;"",TODAY()&gt;G145),"EN RETARD","En cours")))</f>
        <v/>
      </c>
    </row>
    <row r="146">
      <c r="A146" s="15" t="n"/>
      <c r="B146" s="18" t="n"/>
      <c r="C146" s="15" t="n"/>
      <c r="D146" s="15" t="n"/>
      <c r="E146" s="15" t="n"/>
      <c r="F146" s="17" t="n"/>
      <c r="G146" s="18" t="n"/>
      <c r="H146" s="17" t="n"/>
      <c r="I146" s="7">
        <f>IF(F146="","",F146-N(H146))</f>
        <v/>
      </c>
      <c r="J146" s="12">
        <f>IF(F146="","",IF(I146&lt;=0,"Soldé",IF(AND(G146&lt;&gt;"",TODAY()&gt;G146),"EN RETARD","En cours")))</f>
        <v/>
      </c>
    </row>
    <row r="147">
      <c r="A147" s="15" t="n"/>
      <c r="B147" s="18" t="n"/>
      <c r="C147" s="15" t="n"/>
      <c r="D147" s="15" t="n"/>
      <c r="E147" s="15" t="n"/>
      <c r="F147" s="17" t="n"/>
      <c r="G147" s="18" t="n"/>
      <c r="H147" s="17" t="n"/>
      <c r="I147" s="7">
        <f>IF(F147="","",F147-N(H147))</f>
        <v/>
      </c>
      <c r="J147" s="12">
        <f>IF(F147="","",IF(I147&lt;=0,"Soldé",IF(AND(G147&lt;&gt;"",TODAY()&gt;G147),"EN RETARD","En cours")))</f>
        <v/>
      </c>
    </row>
    <row r="148">
      <c r="A148" s="15" t="n"/>
      <c r="B148" s="18" t="n"/>
      <c r="C148" s="15" t="n"/>
      <c r="D148" s="15" t="n"/>
      <c r="E148" s="15" t="n"/>
      <c r="F148" s="17" t="n"/>
      <c r="G148" s="18" t="n"/>
      <c r="H148" s="17" t="n"/>
      <c r="I148" s="7">
        <f>IF(F148="","",F148-N(H148))</f>
        <v/>
      </c>
      <c r="J148" s="12">
        <f>IF(F148="","",IF(I148&lt;=0,"Soldé",IF(AND(G148&lt;&gt;"",TODAY()&gt;G148),"EN RETARD","En cours")))</f>
        <v/>
      </c>
    </row>
    <row r="149">
      <c r="A149" s="15" t="n"/>
      <c r="B149" s="18" t="n"/>
      <c r="C149" s="15" t="n"/>
      <c r="D149" s="15" t="n"/>
      <c r="E149" s="15" t="n"/>
      <c r="F149" s="17" t="n"/>
      <c r="G149" s="18" t="n"/>
      <c r="H149" s="17" t="n"/>
      <c r="I149" s="7">
        <f>IF(F149="","",F149-N(H149))</f>
        <v/>
      </c>
      <c r="J149" s="12">
        <f>IF(F149="","",IF(I149&lt;=0,"Soldé",IF(AND(G149&lt;&gt;"",TODAY()&gt;G149),"EN RETARD","En cours")))</f>
        <v/>
      </c>
    </row>
    <row r="150">
      <c r="A150" s="15" t="n"/>
      <c r="B150" s="18" t="n"/>
      <c r="C150" s="15" t="n"/>
      <c r="D150" s="15" t="n"/>
      <c r="E150" s="15" t="n"/>
      <c r="F150" s="17" t="n"/>
      <c r="G150" s="18" t="n"/>
      <c r="H150" s="17" t="n"/>
      <c r="I150" s="7">
        <f>IF(F150="","",F150-N(H150))</f>
        <v/>
      </c>
      <c r="J150" s="12">
        <f>IF(F150="","",IF(I150&lt;=0,"Soldé",IF(AND(G150&lt;&gt;"",TODAY()&gt;G150),"EN RETARD","En cours")))</f>
        <v/>
      </c>
    </row>
    <row r="151">
      <c r="A151" s="15" t="n"/>
      <c r="B151" s="18" t="n"/>
      <c r="C151" s="15" t="n"/>
      <c r="D151" s="15" t="n"/>
      <c r="E151" s="15" t="n"/>
      <c r="F151" s="17" t="n"/>
      <c r="G151" s="18" t="n"/>
      <c r="H151" s="17" t="n"/>
      <c r="I151" s="7">
        <f>IF(F151="","",F151-N(H151))</f>
        <v/>
      </c>
      <c r="J151" s="12">
        <f>IF(F151="","",IF(I151&lt;=0,"Soldé",IF(AND(G151&lt;&gt;"",TODAY()&gt;G151),"EN RETARD","En cours")))</f>
        <v/>
      </c>
    </row>
    <row r="152">
      <c r="A152" s="15" t="n"/>
      <c r="B152" s="18" t="n"/>
      <c r="C152" s="15" t="n"/>
      <c r="D152" s="15" t="n"/>
      <c r="E152" s="15" t="n"/>
      <c r="F152" s="17" t="n"/>
      <c r="G152" s="18" t="n"/>
      <c r="H152" s="17" t="n"/>
      <c r="I152" s="7">
        <f>IF(F152="","",F152-N(H152))</f>
        <v/>
      </c>
      <c r="J152" s="12">
        <f>IF(F152="","",IF(I152&lt;=0,"Soldé",IF(AND(G152&lt;&gt;"",TODAY()&gt;G152),"EN RETARD","En cours")))</f>
        <v/>
      </c>
    </row>
    <row r="153">
      <c r="A153" s="15" t="n"/>
      <c r="B153" s="18" t="n"/>
      <c r="C153" s="15" t="n"/>
      <c r="D153" s="15" t="n"/>
      <c r="E153" s="15" t="n"/>
      <c r="F153" s="17" t="n"/>
      <c r="G153" s="18" t="n"/>
      <c r="H153" s="17" t="n"/>
      <c r="I153" s="7">
        <f>IF(F153="","",F153-N(H153))</f>
        <v/>
      </c>
      <c r="J153" s="12">
        <f>IF(F153="","",IF(I153&lt;=0,"Soldé",IF(AND(G153&lt;&gt;"",TODAY()&gt;G153),"EN RETARD","En cours")))</f>
        <v/>
      </c>
    </row>
    <row r="154">
      <c r="A154" s="15" t="n"/>
      <c r="B154" s="18" t="n"/>
      <c r="C154" s="15" t="n"/>
      <c r="D154" s="15" t="n"/>
      <c r="E154" s="15" t="n"/>
      <c r="F154" s="17" t="n"/>
      <c r="G154" s="18" t="n"/>
      <c r="H154" s="17" t="n"/>
      <c r="I154" s="7">
        <f>IF(F154="","",F154-N(H154))</f>
        <v/>
      </c>
      <c r="J154" s="12">
        <f>IF(F154="","",IF(I154&lt;=0,"Soldé",IF(AND(G154&lt;&gt;"",TODAY()&gt;G154),"EN RETARD","En cours")))</f>
        <v/>
      </c>
    </row>
    <row r="155">
      <c r="A155" s="15" t="n"/>
      <c r="B155" s="18" t="n"/>
      <c r="C155" s="15" t="n"/>
      <c r="D155" s="15" t="n"/>
      <c r="E155" s="15" t="n"/>
      <c r="F155" s="17" t="n"/>
      <c r="G155" s="18" t="n"/>
      <c r="H155" s="17" t="n"/>
      <c r="I155" s="7">
        <f>IF(F155="","",F155-N(H155))</f>
        <v/>
      </c>
      <c r="J155" s="12">
        <f>IF(F155="","",IF(I155&lt;=0,"Soldé",IF(AND(G155&lt;&gt;"",TODAY()&gt;G155),"EN RETARD","En cours")))</f>
        <v/>
      </c>
    </row>
    <row r="156">
      <c r="A156" s="15" t="n"/>
      <c r="B156" s="18" t="n"/>
      <c r="C156" s="15" t="n"/>
      <c r="D156" s="15" t="n"/>
      <c r="E156" s="15" t="n"/>
      <c r="F156" s="17" t="n"/>
      <c r="G156" s="18" t="n"/>
      <c r="H156" s="17" t="n"/>
      <c r="I156" s="7">
        <f>IF(F156="","",F156-N(H156))</f>
        <v/>
      </c>
      <c r="J156" s="12">
        <f>IF(F156="","",IF(I156&lt;=0,"Soldé",IF(AND(G156&lt;&gt;"",TODAY()&gt;G156),"EN RETARD","En cours")))</f>
        <v/>
      </c>
    </row>
    <row r="157">
      <c r="A157" s="15" t="n"/>
      <c r="B157" s="18" t="n"/>
      <c r="C157" s="15" t="n"/>
      <c r="D157" s="15" t="n"/>
      <c r="E157" s="15" t="n"/>
      <c r="F157" s="17" t="n"/>
      <c r="G157" s="18" t="n"/>
      <c r="H157" s="17" t="n"/>
      <c r="I157" s="7">
        <f>IF(F157="","",F157-N(H157))</f>
        <v/>
      </c>
      <c r="J157" s="12">
        <f>IF(F157="","",IF(I157&lt;=0,"Soldé",IF(AND(G157&lt;&gt;"",TODAY()&gt;G157),"EN RETARD","En cours")))</f>
        <v/>
      </c>
    </row>
    <row r="158">
      <c r="A158" s="15" t="n"/>
      <c r="B158" s="18" t="n"/>
      <c r="C158" s="15" t="n"/>
      <c r="D158" s="15" t="n"/>
      <c r="E158" s="15" t="n"/>
      <c r="F158" s="17" t="n"/>
      <c r="G158" s="18" t="n"/>
      <c r="H158" s="17" t="n"/>
      <c r="I158" s="7">
        <f>IF(F158="","",F158-N(H158))</f>
        <v/>
      </c>
      <c r="J158" s="12">
        <f>IF(F158="","",IF(I158&lt;=0,"Soldé",IF(AND(G158&lt;&gt;"",TODAY()&gt;G158),"EN RETARD","En cours")))</f>
        <v/>
      </c>
    </row>
    <row r="159">
      <c r="A159" s="15" t="n"/>
      <c r="B159" s="18" t="n"/>
      <c r="C159" s="15" t="n"/>
      <c r="D159" s="15" t="n"/>
      <c r="E159" s="15" t="n"/>
      <c r="F159" s="17" t="n"/>
      <c r="G159" s="18" t="n"/>
      <c r="H159" s="17" t="n"/>
      <c r="I159" s="7">
        <f>IF(F159="","",F159-N(H159))</f>
        <v/>
      </c>
      <c r="J159" s="12">
        <f>IF(F159="","",IF(I159&lt;=0,"Soldé",IF(AND(G159&lt;&gt;"",TODAY()&gt;G159),"EN RETARD","En cours")))</f>
        <v/>
      </c>
    </row>
    <row r="160">
      <c r="A160" s="15" t="n"/>
      <c r="B160" s="18" t="n"/>
      <c r="C160" s="15" t="n"/>
      <c r="D160" s="15" t="n"/>
      <c r="E160" s="15" t="n"/>
      <c r="F160" s="17" t="n"/>
      <c r="G160" s="18" t="n"/>
      <c r="H160" s="17" t="n"/>
      <c r="I160" s="7">
        <f>IF(F160="","",F160-N(H160))</f>
        <v/>
      </c>
      <c r="J160" s="12">
        <f>IF(F160="","",IF(I160&lt;=0,"Soldé",IF(AND(G160&lt;&gt;"",TODAY()&gt;G160),"EN RETARD","En cours")))</f>
        <v/>
      </c>
    </row>
    <row r="161">
      <c r="A161" s="15" t="n"/>
      <c r="B161" s="18" t="n"/>
      <c r="C161" s="15" t="n"/>
      <c r="D161" s="15" t="n"/>
      <c r="E161" s="15" t="n"/>
      <c r="F161" s="17" t="n"/>
      <c r="G161" s="18" t="n"/>
      <c r="H161" s="17" t="n"/>
      <c r="I161" s="7">
        <f>IF(F161="","",F161-N(H161))</f>
        <v/>
      </c>
      <c r="J161" s="12">
        <f>IF(F161="","",IF(I161&lt;=0,"Soldé",IF(AND(G161&lt;&gt;"",TODAY()&gt;G161),"EN RETARD","En cours")))</f>
        <v/>
      </c>
    </row>
    <row r="162">
      <c r="A162" s="15" t="n"/>
      <c r="B162" s="18" t="n"/>
      <c r="C162" s="15" t="n"/>
      <c r="D162" s="15" t="n"/>
      <c r="E162" s="15" t="n"/>
      <c r="F162" s="17" t="n"/>
      <c r="G162" s="18" t="n"/>
      <c r="H162" s="17" t="n"/>
      <c r="I162" s="7">
        <f>IF(F162="","",F162-N(H162))</f>
        <v/>
      </c>
      <c r="J162" s="12">
        <f>IF(F162="","",IF(I162&lt;=0,"Soldé",IF(AND(G162&lt;&gt;"",TODAY()&gt;G162),"EN RETARD","En cours")))</f>
        <v/>
      </c>
    </row>
    <row r="163">
      <c r="A163" s="15" t="n"/>
      <c r="B163" s="18" t="n"/>
      <c r="C163" s="15" t="n"/>
      <c r="D163" s="15" t="n"/>
      <c r="E163" s="15" t="n"/>
      <c r="F163" s="17" t="n"/>
      <c r="G163" s="18" t="n"/>
      <c r="H163" s="17" t="n"/>
      <c r="I163" s="7">
        <f>IF(F163="","",F163-N(H163))</f>
        <v/>
      </c>
      <c r="J163" s="12">
        <f>IF(F163="","",IF(I163&lt;=0,"Soldé",IF(AND(G163&lt;&gt;"",TODAY()&gt;G163),"EN RETARD","En cours")))</f>
        <v/>
      </c>
    </row>
    <row r="164">
      <c r="A164" s="15" t="n"/>
      <c r="B164" s="18" t="n"/>
      <c r="C164" s="15" t="n"/>
      <c r="D164" s="15" t="n"/>
      <c r="E164" s="15" t="n"/>
      <c r="F164" s="17" t="n"/>
      <c r="G164" s="18" t="n"/>
      <c r="H164" s="17" t="n"/>
      <c r="I164" s="7">
        <f>IF(F164="","",F164-N(H164))</f>
        <v/>
      </c>
      <c r="J164" s="12">
        <f>IF(F164="","",IF(I164&lt;=0,"Soldé",IF(AND(G164&lt;&gt;"",TODAY()&gt;G164),"EN RETARD","En cours")))</f>
        <v/>
      </c>
    </row>
    <row r="165">
      <c r="A165" s="15" t="n"/>
      <c r="B165" s="18" t="n"/>
      <c r="C165" s="15" t="n"/>
      <c r="D165" s="15" t="n"/>
      <c r="E165" s="15" t="n"/>
      <c r="F165" s="17" t="n"/>
      <c r="G165" s="18" t="n"/>
      <c r="H165" s="17" t="n"/>
      <c r="I165" s="7">
        <f>IF(F165="","",F165-N(H165))</f>
        <v/>
      </c>
      <c r="J165" s="12">
        <f>IF(F165="","",IF(I165&lt;=0,"Soldé",IF(AND(G165&lt;&gt;"",TODAY()&gt;G165),"EN RETARD","En cours")))</f>
        <v/>
      </c>
    </row>
    <row r="166">
      <c r="A166" s="15" t="n"/>
      <c r="B166" s="18" t="n"/>
      <c r="C166" s="15" t="n"/>
      <c r="D166" s="15" t="n"/>
      <c r="E166" s="15" t="n"/>
      <c r="F166" s="17" t="n"/>
      <c r="G166" s="18" t="n"/>
      <c r="H166" s="17" t="n"/>
      <c r="I166" s="7">
        <f>IF(F166="","",F166-N(H166))</f>
        <v/>
      </c>
      <c r="J166" s="12">
        <f>IF(F166="","",IF(I166&lt;=0,"Soldé",IF(AND(G166&lt;&gt;"",TODAY()&gt;G166),"EN RETARD","En cours")))</f>
        <v/>
      </c>
    </row>
    <row r="167">
      <c r="A167" s="15" t="n"/>
      <c r="B167" s="18" t="n"/>
      <c r="C167" s="15" t="n"/>
      <c r="D167" s="15" t="n"/>
      <c r="E167" s="15" t="n"/>
      <c r="F167" s="17" t="n"/>
      <c r="G167" s="18" t="n"/>
      <c r="H167" s="17" t="n"/>
      <c r="I167" s="7">
        <f>IF(F167="","",F167-N(H167))</f>
        <v/>
      </c>
      <c r="J167" s="12">
        <f>IF(F167="","",IF(I167&lt;=0,"Soldé",IF(AND(G167&lt;&gt;"",TODAY()&gt;G167),"EN RETARD","En cours")))</f>
        <v/>
      </c>
    </row>
    <row r="168">
      <c r="A168" s="15" t="n"/>
      <c r="B168" s="18" t="n"/>
      <c r="C168" s="15" t="n"/>
      <c r="D168" s="15" t="n"/>
      <c r="E168" s="15" t="n"/>
      <c r="F168" s="17" t="n"/>
      <c r="G168" s="18" t="n"/>
      <c r="H168" s="17" t="n"/>
      <c r="I168" s="7">
        <f>IF(F168="","",F168-N(H168))</f>
        <v/>
      </c>
      <c r="J168" s="12">
        <f>IF(F168="","",IF(I168&lt;=0,"Soldé",IF(AND(G168&lt;&gt;"",TODAY()&gt;G168),"EN RETARD","En cours")))</f>
        <v/>
      </c>
    </row>
    <row r="169">
      <c r="A169" s="15" t="n"/>
      <c r="B169" s="18" t="n"/>
      <c r="C169" s="15" t="n"/>
      <c r="D169" s="15" t="n"/>
      <c r="E169" s="15" t="n"/>
      <c r="F169" s="17" t="n"/>
      <c r="G169" s="18" t="n"/>
      <c r="H169" s="17" t="n"/>
      <c r="I169" s="7">
        <f>IF(F169="","",F169-N(H169))</f>
        <v/>
      </c>
      <c r="J169" s="12">
        <f>IF(F169="","",IF(I169&lt;=0,"Soldé",IF(AND(G169&lt;&gt;"",TODAY()&gt;G169),"EN RETARD","En cours")))</f>
        <v/>
      </c>
    </row>
    <row r="170">
      <c r="A170" s="15" t="n"/>
      <c r="B170" s="18" t="n"/>
      <c r="C170" s="15" t="n"/>
      <c r="D170" s="15" t="n"/>
      <c r="E170" s="15" t="n"/>
      <c r="F170" s="17" t="n"/>
      <c r="G170" s="18" t="n"/>
      <c r="H170" s="17" t="n"/>
      <c r="I170" s="7">
        <f>IF(F170="","",F170-N(H170))</f>
        <v/>
      </c>
      <c r="J170" s="12">
        <f>IF(F170="","",IF(I170&lt;=0,"Soldé",IF(AND(G170&lt;&gt;"",TODAY()&gt;G170),"EN RETARD","En cours")))</f>
        <v/>
      </c>
    </row>
    <row r="171">
      <c r="A171" s="15" t="n"/>
      <c r="B171" s="18" t="n"/>
      <c r="C171" s="15" t="n"/>
      <c r="D171" s="15" t="n"/>
      <c r="E171" s="15" t="n"/>
      <c r="F171" s="17" t="n"/>
      <c r="G171" s="18" t="n"/>
      <c r="H171" s="17" t="n"/>
      <c r="I171" s="7">
        <f>IF(F171="","",F171-N(H171))</f>
        <v/>
      </c>
      <c r="J171" s="12">
        <f>IF(F171="","",IF(I171&lt;=0,"Soldé",IF(AND(G171&lt;&gt;"",TODAY()&gt;G171),"EN RETARD","En cours")))</f>
        <v/>
      </c>
    </row>
    <row r="172">
      <c r="A172" s="15" t="n"/>
      <c r="B172" s="18" t="n"/>
      <c r="C172" s="15" t="n"/>
      <c r="D172" s="15" t="n"/>
      <c r="E172" s="15" t="n"/>
      <c r="F172" s="17" t="n"/>
      <c r="G172" s="18" t="n"/>
      <c r="H172" s="17" t="n"/>
      <c r="I172" s="7">
        <f>IF(F172="","",F172-N(H172))</f>
        <v/>
      </c>
      <c r="J172" s="12">
        <f>IF(F172="","",IF(I172&lt;=0,"Soldé",IF(AND(G172&lt;&gt;"",TODAY()&gt;G172),"EN RETARD","En cours")))</f>
        <v/>
      </c>
    </row>
    <row r="173">
      <c r="A173" s="15" t="n"/>
      <c r="B173" s="18" t="n"/>
      <c r="C173" s="15" t="n"/>
      <c r="D173" s="15" t="n"/>
      <c r="E173" s="15" t="n"/>
      <c r="F173" s="17" t="n"/>
      <c r="G173" s="18" t="n"/>
      <c r="H173" s="17" t="n"/>
      <c r="I173" s="7">
        <f>IF(F173="","",F173-N(H173))</f>
        <v/>
      </c>
      <c r="J173" s="12">
        <f>IF(F173="","",IF(I173&lt;=0,"Soldé",IF(AND(G173&lt;&gt;"",TODAY()&gt;G173),"EN RETARD","En cours")))</f>
        <v/>
      </c>
    </row>
    <row r="174">
      <c r="A174" s="15" t="n"/>
      <c r="B174" s="18" t="n"/>
      <c r="C174" s="15" t="n"/>
      <c r="D174" s="15" t="n"/>
      <c r="E174" s="15" t="n"/>
      <c r="F174" s="17" t="n"/>
      <c r="G174" s="18" t="n"/>
      <c r="H174" s="17" t="n"/>
      <c r="I174" s="7">
        <f>IF(F174="","",F174-N(H174))</f>
        <v/>
      </c>
      <c r="J174" s="12">
        <f>IF(F174="","",IF(I174&lt;=0,"Soldé",IF(AND(G174&lt;&gt;"",TODAY()&gt;G174),"EN RETARD","En cours")))</f>
        <v/>
      </c>
    </row>
    <row r="175">
      <c r="A175" s="15" t="n"/>
      <c r="B175" s="18" t="n"/>
      <c r="C175" s="15" t="n"/>
      <c r="D175" s="15" t="n"/>
      <c r="E175" s="15" t="n"/>
      <c r="F175" s="17" t="n"/>
      <c r="G175" s="18" t="n"/>
      <c r="H175" s="17" t="n"/>
      <c r="I175" s="7">
        <f>IF(F175="","",F175-N(H175))</f>
        <v/>
      </c>
      <c r="J175" s="12">
        <f>IF(F175="","",IF(I175&lt;=0,"Soldé",IF(AND(G175&lt;&gt;"",TODAY()&gt;G175),"EN RETARD","En cours")))</f>
        <v/>
      </c>
    </row>
    <row r="176">
      <c r="A176" s="15" t="n"/>
      <c r="B176" s="18" t="n"/>
      <c r="C176" s="15" t="n"/>
      <c r="D176" s="15" t="n"/>
      <c r="E176" s="15" t="n"/>
      <c r="F176" s="17" t="n"/>
      <c r="G176" s="18" t="n"/>
      <c r="H176" s="17" t="n"/>
      <c r="I176" s="7">
        <f>IF(F176="","",F176-N(H176))</f>
        <v/>
      </c>
      <c r="J176" s="12">
        <f>IF(F176="","",IF(I176&lt;=0,"Soldé",IF(AND(G176&lt;&gt;"",TODAY()&gt;G176),"EN RETARD","En cours")))</f>
        <v/>
      </c>
    </row>
    <row r="177">
      <c r="A177" s="15" t="n"/>
      <c r="B177" s="18" t="n"/>
      <c r="C177" s="15" t="n"/>
      <c r="D177" s="15" t="n"/>
      <c r="E177" s="15" t="n"/>
      <c r="F177" s="17" t="n"/>
      <c r="G177" s="18" t="n"/>
      <c r="H177" s="17" t="n"/>
      <c r="I177" s="7">
        <f>IF(F177="","",F177-N(H177))</f>
        <v/>
      </c>
      <c r="J177" s="12">
        <f>IF(F177="","",IF(I177&lt;=0,"Soldé",IF(AND(G177&lt;&gt;"",TODAY()&gt;G177),"EN RETARD","En cours")))</f>
        <v/>
      </c>
    </row>
    <row r="178">
      <c r="A178" s="15" t="n"/>
      <c r="B178" s="18" t="n"/>
      <c r="C178" s="15" t="n"/>
      <c r="D178" s="15" t="n"/>
      <c r="E178" s="15" t="n"/>
      <c r="F178" s="17" t="n"/>
      <c r="G178" s="18" t="n"/>
      <c r="H178" s="17" t="n"/>
      <c r="I178" s="7">
        <f>IF(F178="","",F178-N(H178))</f>
        <v/>
      </c>
      <c r="J178" s="12">
        <f>IF(F178="","",IF(I178&lt;=0,"Soldé",IF(AND(G178&lt;&gt;"",TODAY()&gt;G178),"EN RETARD","En cours")))</f>
        <v/>
      </c>
    </row>
    <row r="179">
      <c r="A179" s="15" t="n"/>
      <c r="B179" s="18" t="n"/>
      <c r="C179" s="15" t="n"/>
      <c r="D179" s="15" t="n"/>
      <c r="E179" s="15" t="n"/>
      <c r="F179" s="17" t="n"/>
      <c r="G179" s="18" t="n"/>
      <c r="H179" s="17" t="n"/>
      <c r="I179" s="7">
        <f>IF(F179="","",F179-N(H179))</f>
        <v/>
      </c>
      <c r="J179" s="12">
        <f>IF(F179="","",IF(I179&lt;=0,"Soldé",IF(AND(G179&lt;&gt;"",TODAY()&gt;G179),"EN RETARD","En cours")))</f>
        <v/>
      </c>
    </row>
    <row r="180">
      <c r="A180" s="15" t="n"/>
      <c r="B180" s="18" t="n"/>
      <c r="C180" s="15" t="n"/>
      <c r="D180" s="15" t="n"/>
      <c r="E180" s="15" t="n"/>
      <c r="F180" s="17" t="n"/>
      <c r="G180" s="18" t="n"/>
      <c r="H180" s="17" t="n"/>
      <c r="I180" s="7">
        <f>IF(F180="","",F180-N(H180))</f>
        <v/>
      </c>
      <c r="J180" s="12">
        <f>IF(F180="","",IF(I180&lt;=0,"Soldé",IF(AND(G180&lt;&gt;"",TODAY()&gt;G180),"EN RETARD","En cours")))</f>
        <v/>
      </c>
    </row>
    <row r="181">
      <c r="A181" s="15" t="n"/>
      <c r="B181" s="18" t="n"/>
      <c r="C181" s="15" t="n"/>
      <c r="D181" s="15" t="n"/>
      <c r="E181" s="15" t="n"/>
      <c r="F181" s="17" t="n"/>
      <c r="G181" s="18" t="n"/>
      <c r="H181" s="17" t="n"/>
      <c r="I181" s="7">
        <f>IF(F181="","",F181-N(H181))</f>
        <v/>
      </c>
      <c r="J181" s="12">
        <f>IF(F181="","",IF(I181&lt;=0,"Soldé",IF(AND(G181&lt;&gt;"",TODAY()&gt;G181),"EN RETARD","En cours")))</f>
        <v/>
      </c>
    </row>
    <row r="182">
      <c r="A182" s="15" t="n"/>
      <c r="B182" s="18" t="n"/>
      <c r="C182" s="15" t="n"/>
      <c r="D182" s="15" t="n"/>
      <c r="E182" s="15" t="n"/>
      <c r="F182" s="17" t="n"/>
      <c r="G182" s="18" t="n"/>
      <c r="H182" s="17" t="n"/>
      <c r="I182" s="7">
        <f>IF(F182="","",F182-N(H182))</f>
        <v/>
      </c>
      <c r="J182" s="12">
        <f>IF(F182="","",IF(I182&lt;=0,"Soldé",IF(AND(G182&lt;&gt;"",TODAY()&gt;G182),"EN RETARD","En cours")))</f>
        <v/>
      </c>
    </row>
    <row r="183">
      <c r="A183" s="15" t="n"/>
      <c r="B183" s="18" t="n"/>
      <c r="C183" s="15" t="n"/>
      <c r="D183" s="15" t="n"/>
      <c r="E183" s="15" t="n"/>
      <c r="F183" s="17" t="n"/>
      <c r="G183" s="18" t="n"/>
      <c r="H183" s="17" t="n"/>
      <c r="I183" s="7">
        <f>IF(F183="","",F183-N(H183))</f>
        <v/>
      </c>
      <c r="J183" s="12">
        <f>IF(F183="","",IF(I183&lt;=0,"Soldé",IF(AND(G183&lt;&gt;"",TODAY()&gt;G183),"EN RETARD","En cours")))</f>
        <v/>
      </c>
    </row>
    <row r="184">
      <c r="A184" s="15" t="n"/>
      <c r="B184" s="18" t="n"/>
      <c r="C184" s="15" t="n"/>
      <c r="D184" s="15" t="n"/>
      <c r="E184" s="15" t="n"/>
      <c r="F184" s="17" t="n"/>
      <c r="G184" s="18" t="n"/>
      <c r="H184" s="17" t="n"/>
      <c r="I184" s="7">
        <f>IF(F184="","",F184-N(H184))</f>
        <v/>
      </c>
      <c r="J184" s="12">
        <f>IF(F184="","",IF(I184&lt;=0,"Soldé",IF(AND(G184&lt;&gt;"",TODAY()&gt;G184),"EN RETARD","En cours")))</f>
        <v/>
      </c>
    </row>
    <row r="185">
      <c r="A185" s="15" t="n"/>
      <c r="B185" s="18" t="n"/>
      <c r="C185" s="15" t="n"/>
      <c r="D185" s="15" t="n"/>
      <c r="E185" s="15" t="n"/>
      <c r="F185" s="17" t="n"/>
      <c r="G185" s="18" t="n"/>
      <c r="H185" s="17" t="n"/>
      <c r="I185" s="7">
        <f>IF(F185="","",F185-N(H185))</f>
        <v/>
      </c>
      <c r="J185" s="12">
        <f>IF(F185="","",IF(I185&lt;=0,"Soldé",IF(AND(G185&lt;&gt;"",TODAY()&gt;G185),"EN RETARD","En cours")))</f>
        <v/>
      </c>
    </row>
    <row r="186">
      <c r="A186" s="15" t="n"/>
      <c r="B186" s="18" t="n"/>
      <c r="C186" s="15" t="n"/>
      <c r="D186" s="15" t="n"/>
      <c r="E186" s="15" t="n"/>
      <c r="F186" s="17" t="n"/>
      <c r="G186" s="18" t="n"/>
      <c r="H186" s="17" t="n"/>
      <c r="I186" s="7">
        <f>IF(F186="","",F186-N(H186))</f>
        <v/>
      </c>
      <c r="J186" s="12">
        <f>IF(F186="","",IF(I186&lt;=0,"Soldé",IF(AND(G186&lt;&gt;"",TODAY()&gt;G186),"EN RETARD","En cours")))</f>
        <v/>
      </c>
    </row>
    <row r="187">
      <c r="A187" s="15" t="n"/>
      <c r="B187" s="18" t="n"/>
      <c r="C187" s="15" t="n"/>
      <c r="D187" s="15" t="n"/>
      <c r="E187" s="15" t="n"/>
      <c r="F187" s="17" t="n"/>
      <c r="G187" s="18" t="n"/>
      <c r="H187" s="17" t="n"/>
      <c r="I187" s="7">
        <f>IF(F187="","",F187-N(H187))</f>
        <v/>
      </c>
      <c r="J187" s="12">
        <f>IF(F187="","",IF(I187&lt;=0,"Soldé",IF(AND(G187&lt;&gt;"",TODAY()&gt;G187),"EN RETARD","En cours")))</f>
        <v/>
      </c>
    </row>
    <row r="188">
      <c r="A188" s="15" t="n"/>
      <c r="B188" s="18" t="n"/>
      <c r="C188" s="15" t="n"/>
      <c r="D188" s="15" t="n"/>
      <c r="E188" s="15" t="n"/>
      <c r="F188" s="17" t="n"/>
      <c r="G188" s="18" t="n"/>
      <c r="H188" s="17" t="n"/>
      <c r="I188" s="7">
        <f>IF(F188="","",F188-N(H188))</f>
        <v/>
      </c>
      <c r="J188" s="12">
        <f>IF(F188="","",IF(I188&lt;=0,"Soldé",IF(AND(G188&lt;&gt;"",TODAY()&gt;G188),"EN RETARD","En cours")))</f>
        <v/>
      </c>
    </row>
    <row r="189">
      <c r="A189" s="15" t="n"/>
      <c r="B189" s="18" t="n"/>
      <c r="C189" s="15" t="n"/>
      <c r="D189" s="15" t="n"/>
      <c r="E189" s="15" t="n"/>
      <c r="F189" s="17" t="n"/>
      <c r="G189" s="18" t="n"/>
      <c r="H189" s="17" t="n"/>
      <c r="I189" s="7">
        <f>IF(F189="","",F189-N(H189))</f>
        <v/>
      </c>
      <c r="J189" s="12">
        <f>IF(F189="","",IF(I189&lt;=0,"Soldé",IF(AND(G189&lt;&gt;"",TODAY()&gt;G189),"EN RETARD","En cours")))</f>
        <v/>
      </c>
    </row>
    <row r="190">
      <c r="A190" s="15" t="n"/>
      <c r="B190" s="18" t="n"/>
      <c r="C190" s="15" t="n"/>
      <c r="D190" s="15" t="n"/>
      <c r="E190" s="15" t="n"/>
      <c r="F190" s="17" t="n"/>
      <c r="G190" s="18" t="n"/>
      <c r="H190" s="17" t="n"/>
      <c r="I190" s="7">
        <f>IF(F190="","",F190-N(H190))</f>
        <v/>
      </c>
      <c r="J190" s="12">
        <f>IF(F190="","",IF(I190&lt;=0,"Soldé",IF(AND(G190&lt;&gt;"",TODAY()&gt;G190),"EN RETARD","En cours")))</f>
        <v/>
      </c>
    </row>
    <row r="191">
      <c r="A191" s="15" t="n"/>
      <c r="B191" s="18" t="n"/>
      <c r="C191" s="15" t="n"/>
      <c r="D191" s="15" t="n"/>
      <c r="E191" s="15" t="n"/>
      <c r="F191" s="17" t="n"/>
      <c r="G191" s="18" t="n"/>
      <c r="H191" s="17" t="n"/>
      <c r="I191" s="7">
        <f>IF(F191="","",F191-N(H191))</f>
        <v/>
      </c>
      <c r="J191" s="12">
        <f>IF(F191="","",IF(I191&lt;=0,"Soldé",IF(AND(G191&lt;&gt;"",TODAY()&gt;G191),"EN RETARD","En cours")))</f>
        <v/>
      </c>
    </row>
    <row r="192">
      <c r="A192" s="15" t="n"/>
      <c r="B192" s="18" t="n"/>
      <c r="C192" s="15" t="n"/>
      <c r="D192" s="15" t="n"/>
      <c r="E192" s="15" t="n"/>
      <c r="F192" s="17" t="n"/>
      <c r="G192" s="18" t="n"/>
      <c r="H192" s="17" t="n"/>
      <c r="I192" s="7">
        <f>IF(F192="","",F192-N(H192))</f>
        <v/>
      </c>
      <c r="J192" s="12">
        <f>IF(F192="","",IF(I192&lt;=0,"Soldé",IF(AND(G192&lt;&gt;"",TODAY()&gt;G192),"EN RETARD","En cours")))</f>
        <v/>
      </c>
    </row>
    <row r="193">
      <c r="A193" s="15" t="n"/>
      <c r="B193" s="18" t="n"/>
      <c r="C193" s="15" t="n"/>
      <c r="D193" s="15" t="n"/>
      <c r="E193" s="15" t="n"/>
      <c r="F193" s="17" t="n"/>
      <c r="G193" s="18" t="n"/>
      <c r="H193" s="17" t="n"/>
      <c r="I193" s="7">
        <f>IF(F193="","",F193-N(H193))</f>
        <v/>
      </c>
      <c r="J193" s="12">
        <f>IF(F193="","",IF(I193&lt;=0,"Soldé",IF(AND(G193&lt;&gt;"",TODAY()&gt;G193),"EN RETARD","En cours")))</f>
        <v/>
      </c>
    </row>
    <row r="194">
      <c r="A194" s="15" t="n"/>
      <c r="B194" s="18" t="n"/>
      <c r="C194" s="15" t="n"/>
      <c r="D194" s="15" t="n"/>
      <c r="E194" s="15" t="n"/>
      <c r="F194" s="17" t="n"/>
      <c r="G194" s="18" t="n"/>
      <c r="H194" s="17" t="n"/>
      <c r="I194" s="7">
        <f>IF(F194="","",F194-N(H194))</f>
        <v/>
      </c>
      <c r="J194" s="12">
        <f>IF(F194="","",IF(I194&lt;=0,"Soldé",IF(AND(G194&lt;&gt;"",TODAY()&gt;G194),"EN RETARD","En cours")))</f>
        <v/>
      </c>
    </row>
    <row r="195">
      <c r="A195" s="15" t="n"/>
      <c r="B195" s="18" t="n"/>
      <c r="C195" s="15" t="n"/>
      <c r="D195" s="15" t="n"/>
      <c r="E195" s="15" t="n"/>
      <c r="F195" s="17" t="n"/>
      <c r="G195" s="18" t="n"/>
      <c r="H195" s="17" t="n"/>
      <c r="I195" s="7">
        <f>IF(F195="","",F195-N(H195))</f>
        <v/>
      </c>
      <c r="J195" s="12">
        <f>IF(F195="","",IF(I195&lt;=0,"Soldé",IF(AND(G195&lt;&gt;"",TODAY()&gt;G195),"EN RETARD","En cours")))</f>
        <v/>
      </c>
    </row>
    <row r="196">
      <c r="A196" s="15" t="n"/>
      <c r="B196" s="18" t="n"/>
      <c r="C196" s="15" t="n"/>
      <c r="D196" s="15" t="n"/>
      <c r="E196" s="15" t="n"/>
      <c r="F196" s="17" t="n"/>
      <c r="G196" s="18" t="n"/>
      <c r="H196" s="17" t="n"/>
      <c r="I196" s="7">
        <f>IF(F196="","",F196-N(H196))</f>
        <v/>
      </c>
      <c r="J196" s="12">
        <f>IF(F196="","",IF(I196&lt;=0,"Soldé",IF(AND(G196&lt;&gt;"",TODAY()&gt;G196),"EN RETARD","En cours")))</f>
        <v/>
      </c>
    </row>
    <row r="197">
      <c r="A197" s="15" t="n"/>
      <c r="B197" s="18" t="n"/>
      <c r="C197" s="15" t="n"/>
      <c r="D197" s="15" t="n"/>
      <c r="E197" s="15" t="n"/>
      <c r="F197" s="17" t="n"/>
      <c r="G197" s="18" t="n"/>
      <c r="H197" s="17" t="n"/>
      <c r="I197" s="7">
        <f>IF(F197="","",F197-N(H197))</f>
        <v/>
      </c>
      <c r="J197" s="12">
        <f>IF(F197="","",IF(I197&lt;=0,"Soldé",IF(AND(G197&lt;&gt;"",TODAY()&gt;G197),"EN RETARD","En cours")))</f>
        <v/>
      </c>
    </row>
    <row r="198">
      <c r="A198" s="15" t="n"/>
      <c r="B198" s="18" t="n"/>
      <c r="C198" s="15" t="n"/>
      <c r="D198" s="15" t="n"/>
      <c r="E198" s="15" t="n"/>
      <c r="F198" s="17" t="n"/>
      <c r="G198" s="18" t="n"/>
      <c r="H198" s="17" t="n"/>
      <c r="I198" s="7">
        <f>IF(F198="","",F198-N(H198))</f>
        <v/>
      </c>
      <c r="J198" s="12">
        <f>IF(F198="","",IF(I198&lt;=0,"Soldé",IF(AND(G198&lt;&gt;"",TODAY()&gt;G198),"EN RETARD","En cours")))</f>
        <v/>
      </c>
    </row>
    <row r="199">
      <c r="A199" s="15" t="n"/>
      <c r="B199" s="18" t="n"/>
      <c r="C199" s="15" t="n"/>
      <c r="D199" s="15" t="n"/>
      <c r="E199" s="15" t="n"/>
      <c r="F199" s="17" t="n"/>
      <c r="G199" s="18" t="n"/>
      <c r="H199" s="17" t="n"/>
      <c r="I199" s="7">
        <f>IF(F199="","",F199-N(H199))</f>
        <v/>
      </c>
      <c r="J199" s="12">
        <f>IF(F199="","",IF(I199&lt;=0,"Soldé",IF(AND(G199&lt;&gt;"",TODAY()&gt;G199),"EN RETARD","En cours")))</f>
        <v/>
      </c>
    </row>
    <row r="200">
      <c r="A200" s="15" t="n"/>
      <c r="B200" s="18" t="n"/>
      <c r="C200" s="15" t="n"/>
      <c r="D200" s="15" t="n"/>
      <c r="E200" s="15" t="n"/>
      <c r="F200" s="17" t="n"/>
      <c r="G200" s="18" t="n"/>
      <c r="H200" s="17" t="n"/>
      <c r="I200" s="7">
        <f>IF(F200="","",F200-N(H200))</f>
        <v/>
      </c>
      <c r="J200" s="12">
        <f>IF(F200="","",IF(I200&lt;=0,"Soldé",IF(AND(G200&lt;&gt;"",TODAY()&gt;G200),"EN RETARD","En cours")))</f>
        <v/>
      </c>
    </row>
    <row r="201">
      <c r="A201" s="15" t="n"/>
      <c r="B201" s="18" t="n"/>
      <c r="C201" s="15" t="n"/>
      <c r="D201" s="15" t="n"/>
      <c r="E201" s="15" t="n"/>
      <c r="F201" s="17" t="n"/>
      <c r="G201" s="18" t="n"/>
      <c r="H201" s="17" t="n"/>
      <c r="I201" s="7">
        <f>IF(F201="","",F201-N(H201))</f>
        <v/>
      </c>
      <c r="J201" s="12">
        <f>IF(F201="","",IF(I201&lt;=0,"Soldé",IF(AND(G201&lt;&gt;"",TODAY()&gt;G201),"EN RETARD","En cours")))</f>
        <v/>
      </c>
    </row>
    <row r="202">
      <c r="A202" s="15" t="n"/>
      <c r="B202" s="18" t="n"/>
      <c r="C202" s="15" t="n"/>
      <c r="D202" s="15" t="n"/>
      <c r="E202" s="15" t="n"/>
      <c r="F202" s="17" t="n"/>
      <c r="G202" s="18" t="n"/>
      <c r="H202" s="17" t="n"/>
      <c r="I202" s="7">
        <f>IF(F202="","",F202-N(H202))</f>
        <v/>
      </c>
      <c r="J202" s="12">
        <f>IF(F202="","",IF(I202&lt;=0,"Soldé",IF(AND(G202&lt;&gt;"",TODAY()&gt;G202),"EN RETARD","En cours")))</f>
        <v/>
      </c>
    </row>
    <row r="203">
      <c r="A203" s="15" t="n"/>
      <c r="B203" s="18" t="n"/>
      <c r="C203" s="15" t="n"/>
      <c r="D203" s="15" t="n"/>
      <c r="E203" s="15" t="n"/>
      <c r="F203" s="17" t="n"/>
      <c r="G203" s="18" t="n"/>
      <c r="H203" s="17" t="n"/>
      <c r="I203" s="7">
        <f>IF(F203="","",F203-N(H203))</f>
        <v/>
      </c>
      <c r="J203" s="12">
        <f>IF(F203="","",IF(I203&lt;=0,"Soldé",IF(AND(G203&lt;&gt;"",TODAY()&gt;G203),"EN RETARD","En cours")))</f>
        <v/>
      </c>
    </row>
    <row r="204">
      <c r="A204" s="15" t="n"/>
      <c r="B204" s="18" t="n"/>
      <c r="C204" s="15" t="n"/>
      <c r="D204" s="15" t="n"/>
      <c r="E204" s="15" t="n"/>
      <c r="F204" s="17" t="n"/>
      <c r="G204" s="18" t="n"/>
      <c r="H204" s="17" t="n"/>
      <c r="I204" s="7">
        <f>IF(F204="","",F204-N(H204))</f>
        <v/>
      </c>
      <c r="J204" s="12">
        <f>IF(F204="","",IF(I204&lt;=0,"Soldé",IF(AND(G204&lt;&gt;"",TODAY()&gt;G204),"EN RETARD","En cours")))</f>
        <v/>
      </c>
    </row>
    <row r="205">
      <c r="A205" s="15" t="n"/>
      <c r="B205" s="18" t="n"/>
      <c r="C205" s="15" t="n"/>
      <c r="D205" s="15" t="n"/>
      <c r="E205" s="15" t="n"/>
      <c r="F205" s="17" t="n"/>
      <c r="G205" s="18" t="n"/>
      <c r="H205" s="17" t="n"/>
      <c r="I205" s="7">
        <f>IF(F205="","",F205-N(H205))</f>
        <v/>
      </c>
      <c r="J205" s="12">
        <f>IF(F205="","",IF(I205&lt;=0,"Soldé",IF(AND(G205&lt;&gt;"",TODAY()&gt;G205),"EN RETARD","En cours")))</f>
        <v/>
      </c>
    </row>
    <row r="206">
      <c r="A206" s="15" t="n"/>
      <c r="B206" s="18" t="n"/>
      <c r="C206" s="15" t="n"/>
      <c r="D206" s="15" t="n"/>
      <c r="E206" s="15" t="n"/>
      <c r="F206" s="17" t="n"/>
      <c r="G206" s="18" t="n"/>
      <c r="H206" s="17" t="n"/>
      <c r="I206" s="7">
        <f>IF(F206="","",F206-N(H206))</f>
        <v/>
      </c>
      <c r="J206" s="12">
        <f>IF(F206="","",IF(I206&lt;=0,"Soldé",IF(AND(G206&lt;&gt;"",TODAY()&gt;G206),"EN RETARD","En cours")))</f>
        <v/>
      </c>
    </row>
    <row r="207">
      <c r="A207" s="15" t="n"/>
      <c r="B207" s="18" t="n"/>
      <c r="C207" s="15" t="n"/>
      <c r="D207" s="15" t="n"/>
      <c r="E207" s="15" t="n"/>
      <c r="F207" s="17" t="n"/>
      <c r="G207" s="18" t="n"/>
      <c r="H207" s="17" t="n"/>
      <c r="I207" s="7">
        <f>IF(F207="","",F207-N(H207))</f>
        <v/>
      </c>
      <c r="J207" s="12">
        <f>IF(F207="","",IF(I207&lt;=0,"Soldé",IF(AND(G207&lt;&gt;"",TODAY()&gt;G207),"EN RETARD","En cours")))</f>
        <v/>
      </c>
    </row>
    <row r="208">
      <c r="A208" s="15" t="n"/>
      <c r="B208" s="18" t="n"/>
      <c r="C208" s="15" t="n"/>
      <c r="D208" s="15" t="n"/>
      <c r="E208" s="15" t="n"/>
      <c r="F208" s="17" t="n"/>
      <c r="G208" s="18" t="n"/>
      <c r="H208" s="17" t="n"/>
      <c r="I208" s="7">
        <f>IF(F208="","",F208-N(H208))</f>
        <v/>
      </c>
      <c r="J208" s="12">
        <f>IF(F208="","",IF(I208&lt;=0,"Soldé",IF(AND(G208&lt;&gt;"",TODAY()&gt;G208),"EN RETARD","En cours")))</f>
        <v/>
      </c>
    </row>
    <row r="209">
      <c r="A209" s="15" t="n"/>
      <c r="B209" s="18" t="n"/>
      <c r="C209" s="15" t="n"/>
      <c r="D209" s="15" t="n"/>
      <c r="E209" s="15" t="n"/>
      <c r="F209" s="17" t="n"/>
      <c r="G209" s="18" t="n"/>
      <c r="H209" s="17" t="n"/>
      <c r="I209" s="7">
        <f>IF(F209="","",F209-N(H209))</f>
        <v/>
      </c>
      <c r="J209" s="12">
        <f>IF(F209="","",IF(I209&lt;=0,"Soldé",IF(AND(G209&lt;&gt;"",TODAY()&gt;G209),"EN RETARD","En cours")))</f>
        <v/>
      </c>
    </row>
    <row r="210">
      <c r="A210" s="15" t="n"/>
      <c r="B210" s="18" t="n"/>
      <c r="C210" s="15" t="n"/>
      <c r="D210" s="15" t="n"/>
      <c r="E210" s="15" t="n"/>
      <c r="F210" s="17" t="n"/>
      <c r="G210" s="18" t="n"/>
      <c r="H210" s="17" t="n"/>
      <c r="I210" s="7">
        <f>IF(F210="","",F210-N(H210))</f>
        <v/>
      </c>
      <c r="J210" s="12">
        <f>IF(F210="","",IF(I210&lt;=0,"Soldé",IF(AND(G210&lt;&gt;"",TODAY()&gt;G210),"EN RETARD","En cours")))</f>
        <v/>
      </c>
    </row>
    <row r="211">
      <c r="A211" s="15" t="n"/>
      <c r="B211" s="18" t="n"/>
      <c r="C211" s="15" t="n"/>
      <c r="D211" s="15" t="n"/>
      <c r="E211" s="15" t="n"/>
      <c r="F211" s="17" t="n"/>
      <c r="G211" s="18" t="n"/>
      <c r="H211" s="17" t="n"/>
      <c r="I211" s="7">
        <f>IF(F211="","",F211-N(H211))</f>
        <v/>
      </c>
      <c r="J211" s="12">
        <f>IF(F211="","",IF(I211&lt;=0,"Soldé",IF(AND(G211&lt;&gt;"",TODAY()&gt;G211),"EN RETARD","En cours")))</f>
        <v/>
      </c>
    </row>
    <row r="212">
      <c r="A212" s="15" t="n"/>
      <c r="B212" s="18" t="n"/>
      <c r="C212" s="15" t="n"/>
      <c r="D212" s="15" t="n"/>
      <c r="E212" s="15" t="n"/>
      <c r="F212" s="17" t="n"/>
      <c r="G212" s="18" t="n"/>
      <c r="H212" s="17" t="n"/>
      <c r="I212" s="7">
        <f>IF(F212="","",F212-N(H212))</f>
        <v/>
      </c>
      <c r="J212" s="12">
        <f>IF(F212="","",IF(I212&lt;=0,"Soldé",IF(AND(G212&lt;&gt;"",TODAY()&gt;G212),"EN RETARD","En cours")))</f>
        <v/>
      </c>
    </row>
    <row r="213">
      <c r="A213" s="15" t="n"/>
      <c r="B213" s="18" t="n"/>
      <c r="C213" s="15" t="n"/>
      <c r="D213" s="15" t="n"/>
      <c r="E213" s="15" t="n"/>
      <c r="F213" s="17" t="n"/>
      <c r="G213" s="18" t="n"/>
      <c r="H213" s="17" t="n"/>
      <c r="I213" s="7">
        <f>IF(F213="","",F213-N(H213))</f>
        <v/>
      </c>
      <c r="J213" s="12">
        <f>IF(F213="","",IF(I213&lt;=0,"Soldé",IF(AND(G213&lt;&gt;"",TODAY()&gt;G213),"EN RETARD","En cours")))</f>
        <v/>
      </c>
    </row>
    <row r="214">
      <c r="A214" s="15" t="n"/>
      <c r="B214" s="18" t="n"/>
      <c r="C214" s="15" t="n"/>
      <c r="D214" s="15" t="n"/>
      <c r="E214" s="15" t="n"/>
      <c r="F214" s="17" t="n"/>
      <c r="G214" s="18" t="n"/>
      <c r="H214" s="17" t="n"/>
      <c r="I214" s="7">
        <f>IF(F214="","",F214-N(H214))</f>
        <v/>
      </c>
      <c r="J214" s="12">
        <f>IF(F214="","",IF(I214&lt;=0,"Soldé",IF(AND(G214&lt;&gt;"",TODAY()&gt;G214),"EN RETARD","En cours")))</f>
        <v/>
      </c>
    </row>
    <row r="215">
      <c r="A215" s="15" t="n"/>
      <c r="B215" s="18" t="n"/>
      <c r="C215" s="15" t="n"/>
      <c r="D215" s="15" t="n"/>
      <c r="E215" s="15" t="n"/>
      <c r="F215" s="17" t="n"/>
      <c r="G215" s="18" t="n"/>
      <c r="H215" s="17" t="n"/>
      <c r="I215" s="7">
        <f>IF(F215="","",F215-N(H215))</f>
        <v/>
      </c>
      <c r="J215" s="12">
        <f>IF(F215="","",IF(I215&lt;=0,"Soldé",IF(AND(G215&lt;&gt;"",TODAY()&gt;G215),"EN RETARD","En cours")))</f>
        <v/>
      </c>
    </row>
    <row r="216">
      <c r="A216" s="15" t="n"/>
      <c r="B216" s="18" t="n"/>
      <c r="C216" s="15" t="n"/>
      <c r="D216" s="15" t="n"/>
      <c r="E216" s="15" t="n"/>
      <c r="F216" s="17" t="n"/>
      <c r="G216" s="18" t="n"/>
      <c r="H216" s="17" t="n"/>
      <c r="I216" s="7">
        <f>IF(F216="","",F216-N(H216))</f>
        <v/>
      </c>
      <c r="J216" s="12">
        <f>IF(F216="","",IF(I216&lt;=0,"Soldé",IF(AND(G216&lt;&gt;"",TODAY()&gt;G216),"EN RETARD","En cours")))</f>
        <v/>
      </c>
    </row>
    <row r="217">
      <c r="A217" s="15" t="n"/>
      <c r="B217" s="18" t="n"/>
      <c r="C217" s="15" t="n"/>
      <c r="D217" s="15" t="n"/>
      <c r="E217" s="15" t="n"/>
      <c r="F217" s="17" t="n"/>
      <c r="G217" s="18" t="n"/>
      <c r="H217" s="17" t="n"/>
      <c r="I217" s="7">
        <f>IF(F217="","",F217-N(H217))</f>
        <v/>
      </c>
      <c r="J217" s="12">
        <f>IF(F217="","",IF(I217&lt;=0,"Soldé",IF(AND(G217&lt;&gt;"",TODAY()&gt;G217),"EN RETARD","En cours")))</f>
        <v/>
      </c>
    </row>
    <row r="218">
      <c r="A218" s="15" t="n"/>
      <c r="B218" s="18" t="n"/>
      <c r="C218" s="15" t="n"/>
      <c r="D218" s="15" t="n"/>
      <c r="E218" s="15" t="n"/>
      <c r="F218" s="17" t="n"/>
      <c r="G218" s="18" t="n"/>
      <c r="H218" s="17" t="n"/>
      <c r="I218" s="7">
        <f>IF(F218="","",F218-N(H218))</f>
        <v/>
      </c>
      <c r="J218" s="12">
        <f>IF(F218="","",IF(I218&lt;=0,"Soldé",IF(AND(G218&lt;&gt;"",TODAY()&gt;G218),"EN RETARD","En cours")))</f>
        <v/>
      </c>
    </row>
    <row r="219">
      <c r="A219" s="15" t="n"/>
      <c r="B219" s="18" t="n"/>
      <c r="C219" s="15" t="n"/>
      <c r="D219" s="15" t="n"/>
      <c r="E219" s="15" t="n"/>
      <c r="F219" s="17" t="n"/>
      <c r="G219" s="18" t="n"/>
      <c r="H219" s="17" t="n"/>
      <c r="I219" s="7">
        <f>IF(F219="","",F219-N(H219))</f>
        <v/>
      </c>
      <c r="J219" s="12">
        <f>IF(F219="","",IF(I219&lt;=0,"Soldé",IF(AND(G219&lt;&gt;"",TODAY()&gt;G219),"EN RETARD","En cours")))</f>
        <v/>
      </c>
    </row>
    <row r="220">
      <c r="A220" s="15" t="n"/>
      <c r="B220" s="18" t="n"/>
      <c r="C220" s="15" t="n"/>
      <c r="D220" s="15" t="n"/>
      <c r="E220" s="15" t="n"/>
      <c r="F220" s="17" t="n"/>
      <c r="G220" s="18" t="n"/>
      <c r="H220" s="17" t="n"/>
      <c r="I220" s="7">
        <f>IF(F220="","",F220-N(H220))</f>
        <v/>
      </c>
      <c r="J220" s="12">
        <f>IF(F220="","",IF(I220&lt;=0,"Soldé",IF(AND(G220&lt;&gt;"",TODAY()&gt;G220),"EN RETARD","En cours")))</f>
        <v/>
      </c>
    </row>
    <row r="221">
      <c r="A221" s="15" t="n"/>
      <c r="B221" s="18" t="n"/>
      <c r="C221" s="15" t="n"/>
      <c r="D221" s="15" t="n"/>
      <c r="E221" s="15" t="n"/>
      <c r="F221" s="17" t="n"/>
      <c r="G221" s="18" t="n"/>
      <c r="H221" s="17" t="n"/>
      <c r="I221" s="7">
        <f>IF(F221="","",F221-N(H221))</f>
        <v/>
      </c>
      <c r="J221" s="12">
        <f>IF(F221="","",IF(I221&lt;=0,"Soldé",IF(AND(G221&lt;&gt;"",TODAY()&gt;G221),"EN RETARD","En cours")))</f>
        <v/>
      </c>
    </row>
    <row r="222">
      <c r="A222" s="15" t="n"/>
      <c r="B222" s="18" t="n"/>
      <c r="C222" s="15" t="n"/>
      <c r="D222" s="15" t="n"/>
      <c r="E222" s="15" t="n"/>
      <c r="F222" s="17" t="n"/>
      <c r="G222" s="18" t="n"/>
      <c r="H222" s="17" t="n"/>
      <c r="I222" s="7">
        <f>IF(F222="","",F222-N(H222))</f>
        <v/>
      </c>
      <c r="J222" s="12">
        <f>IF(F222="","",IF(I222&lt;=0,"Soldé",IF(AND(G222&lt;&gt;"",TODAY()&gt;G222),"EN RETARD","En cours")))</f>
        <v/>
      </c>
    </row>
    <row r="223">
      <c r="A223" s="15" t="n"/>
      <c r="B223" s="18" t="n"/>
      <c r="C223" s="15" t="n"/>
      <c r="D223" s="15" t="n"/>
      <c r="E223" s="15" t="n"/>
      <c r="F223" s="17" t="n"/>
      <c r="G223" s="18" t="n"/>
      <c r="H223" s="17" t="n"/>
      <c r="I223" s="7">
        <f>IF(F223="","",F223-N(H223))</f>
        <v/>
      </c>
      <c r="J223" s="12">
        <f>IF(F223="","",IF(I223&lt;=0,"Soldé",IF(AND(G223&lt;&gt;"",TODAY()&gt;G223),"EN RETARD","En cours")))</f>
        <v/>
      </c>
    </row>
    <row r="224">
      <c r="A224" s="15" t="n"/>
      <c r="B224" s="18" t="n"/>
      <c r="C224" s="15" t="n"/>
      <c r="D224" s="15" t="n"/>
      <c r="E224" s="15" t="n"/>
      <c r="F224" s="17" t="n"/>
      <c r="G224" s="18" t="n"/>
      <c r="H224" s="17" t="n"/>
      <c r="I224" s="7">
        <f>IF(F224="","",F224-N(H224))</f>
        <v/>
      </c>
      <c r="J224" s="12">
        <f>IF(F224="","",IF(I224&lt;=0,"Soldé",IF(AND(G224&lt;&gt;"",TODAY()&gt;G224),"EN RETARD","En cours")))</f>
        <v/>
      </c>
    </row>
    <row r="225">
      <c r="A225" s="15" t="n"/>
      <c r="B225" s="18" t="n"/>
      <c r="C225" s="15" t="n"/>
      <c r="D225" s="15" t="n"/>
      <c r="E225" s="15" t="n"/>
      <c r="F225" s="17" t="n"/>
      <c r="G225" s="18" t="n"/>
      <c r="H225" s="17" t="n"/>
      <c r="I225" s="7">
        <f>IF(F225="","",F225-N(H225))</f>
        <v/>
      </c>
      <c r="J225" s="12">
        <f>IF(F225="","",IF(I225&lt;=0,"Soldé",IF(AND(G225&lt;&gt;"",TODAY()&gt;G225),"EN RETARD","En cours")))</f>
        <v/>
      </c>
    </row>
    <row r="226">
      <c r="A226" s="15" t="n"/>
      <c r="B226" s="18" t="n"/>
      <c r="C226" s="15" t="n"/>
      <c r="D226" s="15" t="n"/>
      <c r="E226" s="15" t="n"/>
      <c r="F226" s="17" t="n"/>
      <c r="G226" s="18" t="n"/>
      <c r="H226" s="17" t="n"/>
      <c r="I226" s="7">
        <f>IF(F226="","",F226-N(H226))</f>
        <v/>
      </c>
      <c r="J226" s="12">
        <f>IF(F226="","",IF(I226&lt;=0,"Soldé",IF(AND(G226&lt;&gt;"",TODAY()&gt;G226),"EN RETARD","En cours")))</f>
        <v/>
      </c>
    </row>
    <row r="227">
      <c r="A227" s="15" t="n"/>
      <c r="B227" s="18" t="n"/>
      <c r="C227" s="15" t="n"/>
      <c r="D227" s="15" t="n"/>
      <c r="E227" s="15" t="n"/>
      <c r="F227" s="17" t="n"/>
      <c r="G227" s="18" t="n"/>
      <c r="H227" s="17" t="n"/>
      <c r="I227" s="7">
        <f>IF(F227="","",F227-N(H227))</f>
        <v/>
      </c>
      <c r="J227" s="12">
        <f>IF(F227="","",IF(I227&lt;=0,"Soldé",IF(AND(G227&lt;&gt;"",TODAY()&gt;G227),"EN RETARD","En cours")))</f>
        <v/>
      </c>
    </row>
    <row r="228">
      <c r="A228" s="15" t="n"/>
      <c r="B228" s="18" t="n"/>
      <c r="C228" s="15" t="n"/>
      <c r="D228" s="15" t="n"/>
      <c r="E228" s="15" t="n"/>
      <c r="F228" s="17" t="n"/>
      <c r="G228" s="18" t="n"/>
      <c r="H228" s="17" t="n"/>
      <c r="I228" s="7">
        <f>IF(F228="","",F228-N(H228))</f>
        <v/>
      </c>
      <c r="J228" s="12">
        <f>IF(F228="","",IF(I228&lt;=0,"Soldé",IF(AND(G228&lt;&gt;"",TODAY()&gt;G228),"EN RETARD","En cours")))</f>
        <v/>
      </c>
    </row>
    <row r="229">
      <c r="A229" s="15" t="n"/>
      <c r="B229" s="18" t="n"/>
      <c r="C229" s="15" t="n"/>
      <c r="D229" s="15" t="n"/>
      <c r="E229" s="15" t="n"/>
      <c r="F229" s="17" t="n"/>
      <c r="G229" s="18" t="n"/>
      <c r="H229" s="17" t="n"/>
      <c r="I229" s="7">
        <f>IF(F229="","",F229-N(H229))</f>
        <v/>
      </c>
      <c r="J229" s="12">
        <f>IF(F229="","",IF(I229&lt;=0,"Soldé",IF(AND(G229&lt;&gt;"",TODAY()&gt;G229),"EN RETARD","En cours")))</f>
        <v/>
      </c>
    </row>
    <row r="230">
      <c r="A230" s="15" t="n"/>
      <c r="B230" s="18" t="n"/>
      <c r="C230" s="15" t="n"/>
      <c r="D230" s="15" t="n"/>
      <c r="E230" s="15" t="n"/>
      <c r="F230" s="17" t="n"/>
      <c r="G230" s="18" t="n"/>
      <c r="H230" s="17" t="n"/>
      <c r="I230" s="7">
        <f>IF(F230="","",F230-N(H230))</f>
        <v/>
      </c>
      <c r="J230" s="12">
        <f>IF(F230="","",IF(I230&lt;=0,"Soldé",IF(AND(G230&lt;&gt;"",TODAY()&gt;G230),"EN RETARD","En cours")))</f>
        <v/>
      </c>
    </row>
    <row r="231">
      <c r="A231" s="15" t="n"/>
      <c r="B231" s="18" t="n"/>
      <c r="C231" s="15" t="n"/>
      <c r="D231" s="15" t="n"/>
      <c r="E231" s="15" t="n"/>
      <c r="F231" s="17" t="n"/>
      <c r="G231" s="18" t="n"/>
      <c r="H231" s="17" t="n"/>
      <c r="I231" s="7">
        <f>IF(F231="","",F231-N(H231))</f>
        <v/>
      </c>
      <c r="J231" s="12">
        <f>IF(F231="","",IF(I231&lt;=0,"Soldé",IF(AND(G231&lt;&gt;"",TODAY()&gt;G231),"EN RETARD","En cours")))</f>
        <v/>
      </c>
    </row>
    <row r="232">
      <c r="A232" s="15" t="n"/>
      <c r="B232" s="18" t="n"/>
      <c r="C232" s="15" t="n"/>
      <c r="D232" s="15" t="n"/>
      <c r="E232" s="15" t="n"/>
      <c r="F232" s="17" t="n"/>
      <c r="G232" s="18" t="n"/>
      <c r="H232" s="17" t="n"/>
      <c r="I232" s="7">
        <f>IF(F232="","",F232-N(H232))</f>
        <v/>
      </c>
      <c r="J232" s="12">
        <f>IF(F232="","",IF(I232&lt;=0,"Soldé",IF(AND(G232&lt;&gt;"",TODAY()&gt;G232),"EN RETARD","En cours")))</f>
        <v/>
      </c>
    </row>
    <row r="233">
      <c r="A233" s="15" t="n"/>
      <c r="B233" s="18" t="n"/>
      <c r="C233" s="15" t="n"/>
      <c r="D233" s="15" t="n"/>
      <c r="E233" s="15" t="n"/>
      <c r="F233" s="17" t="n"/>
      <c r="G233" s="18" t="n"/>
      <c r="H233" s="17" t="n"/>
      <c r="I233" s="7">
        <f>IF(F233="","",F233-N(H233))</f>
        <v/>
      </c>
      <c r="J233" s="12">
        <f>IF(F233="","",IF(I233&lt;=0,"Soldé",IF(AND(G233&lt;&gt;"",TODAY()&gt;G233),"EN RETARD","En cours")))</f>
        <v/>
      </c>
    </row>
    <row r="234">
      <c r="A234" s="15" t="n"/>
      <c r="B234" s="18" t="n"/>
      <c r="C234" s="15" t="n"/>
      <c r="D234" s="15" t="n"/>
      <c r="E234" s="15" t="n"/>
      <c r="F234" s="17" t="n"/>
      <c r="G234" s="18" t="n"/>
      <c r="H234" s="17" t="n"/>
      <c r="I234" s="7">
        <f>IF(F234="","",F234-N(H234))</f>
        <v/>
      </c>
      <c r="J234" s="12">
        <f>IF(F234="","",IF(I234&lt;=0,"Soldé",IF(AND(G234&lt;&gt;"",TODAY()&gt;G234),"EN RETARD","En cours")))</f>
        <v/>
      </c>
    </row>
    <row r="235">
      <c r="A235" s="15" t="n"/>
      <c r="B235" s="18" t="n"/>
      <c r="C235" s="15" t="n"/>
      <c r="D235" s="15" t="n"/>
      <c r="E235" s="15" t="n"/>
      <c r="F235" s="17" t="n"/>
      <c r="G235" s="18" t="n"/>
      <c r="H235" s="17" t="n"/>
      <c r="I235" s="7">
        <f>IF(F235="","",F235-N(H235))</f>
        <v/>
      </c>
      <c r="J235" s="12">
        <f>IF(F235="","",IF(I235&lt;=0,"Soldé",IF(AND(G235&lt;&gt;"",TODAY()&gt;G235),"EN RETARD","En cours")))</f>
        <v/>
      </c>
    </row>
    <row r="236">
      <c r="A236" s="15" t="n"/>
      <c r="B236" s="18" t="n"/>
      <c r="C236" s="15" t="n"/>
      <c r="D236" s="15" t="n"/>
      <c r="E236" s="15" t="n"/>
      <c r="F236" s="17" t="n"/>
      <c r="G236" s="18" t="n"/>
      <c r="H236" s="17" t="n"/>
      <c r="I236" s="7">
        <f>IF(F236="","",F236-N(H236))</f>
        <v/>
      </c>
      <c r="J236" s="12">
        <f>IF(F236="","",IF(I236&lt;=0,"Soldé",IF(AND(G236&lt;&gt;"",TODAY()&gt;G236),"EN RETARD","En cours")))</f>
        <v/>
      </c>
    </row>
    <row r="237">
      <c r="A237" s="15" t="n"/>
      <c r="B237" s="18" t="n"/>
      <c r="C237" s="15" t="n"/>
      <c r="D237" s="15" t="n"/>
      <c r="E237" s="15" t="n"/>
      <c r="F237" s="17" t="n"/>
      <c r="G237" s="18" t="n"/>
      <c r="H237" s="17" t="n"/>
      <c r="I237" s="7">
        <f>IF(F237="","",F237-N(H237))</f>
        <v/>
      </c>
      <c r="J237" s="12">
        <f>IF(F237="","",IF(I237&lt;=0,"Soldé",IF(AND(G237&lt;&gt;"",TODAY()&gt;G237),"EN RETARD","En cours")))</f>
        <v/>
      </c>
    </row>
    <row r="238">
      <c r="A238" s="15" t="n"/>
      <c r="B238" s="18" t="n"/>
      <c r="C238" s="15" t="n"/>
      <c r="D238" s="15" t="n"/>
      <c r="E238" s="15" t="n"/>
      <c r="F238" s="17" t="n"/>
      <c r="G238" s="18" t="n"/>
      <c r="H238" s="17" t="n"/>
      <c r="I238" s="7">
        <f>IF(F238="","",F238-N(H238))</f>
        <v/>
      </c>
      <c r="J238" s="12">
        <f>IF(F238="","",IF(I238&lt;=0,"Soldé",IF(AND(G238&lt;&gt;"",TODAY()&gt;G238),"EN RETARD","En cours")))</f>
        <v/>
      </c>
    </row>
    <row r="239">
      <c r="A239" s="15" t="n"/>
      <c r="B239" s="18" t="n"/>
      <c r="C239" s="15" t="n"/>
      <c r="D239" s="15" t="n"/>
      <c r="E239" s="15" t="n"/>
      <c r="F239" s="17" t="n"/>
      <c r="G239" s="18" t="n"/>
      <c r="H239" s="17" t="n"/>
      <c r="I239" s="7">
        <f>IF(F239="","",F239-N(H239))</f>
        <v/>
      </c>
      <c r="J239" s="12">
        <f>IF(F239="","",IF(I239&lt;=0,"Soldé",IF(AND(G239&lt;&gt;"",TODAY()&gt;G239),"EN RETARD","En cours")))</f>
        <v/>
      </c>
    </row>
    <row r="240">
      <c r="A240" s="15" t="n"/>
      <c r="B240" s="18" t="n"/>
      <c r="C240" s="15" t="n"/>
      <c r="D240" s="15" t="n"/>
      <c r="E240" s="15" t="n"/>
      <c r="F240" s="17" t="n"/>
      <c r="G240" s="18" t="n"/>
      <c r="H240" s="17" t="n"/>
      <c r="I240" s="7">
        <f>IF(F240="","",F240-N(H240))</f>
        <v/>
      </c>
      <c r="J240" s="12">
        <f>IF(F240="","",IF(I240&lt;=0,"Soldé",IF(AND(G240&lt;&gt;"",TODAY()&gt;G240),"EN RETARD","En cours")))</f>
        <v/>
      </c>
    </row>
    <row r="241">
      <c r="A241" s="15" t="n"/>
      <c r="B241" s="18" t="n"/>
      <c r="C241" s="15" t="n"/>
      <c r="D241" s="15" t="n"/>
      <c r="E241" s="15" t="n"/>
      <c r="F241" s="17" t="n"/>
      <c r="G241" s="18" t="n"/>
      <c r="H241" s="17" t="n"/>
      <c r="I241" s="7">
        <f>IF(F241="","",F241-N(H241))</f>
        <v/>
      </c>
      <c r="J241" s="12">
        <f>IF(F241="","",IF(I241&lt;=0,"Soldé",IF(AND(G241&lt;&gt;"",TODAY()&gt;G241),"EN RETARD","En cours")))</f>
        <v/>
      </c>
    </row>
    <row r="242">
      <c r="A242" s="15" t="n"/>
      <c r="B242" s="18" t="n"/>
      <c r="C242" s="15" t="n"/>
      <c r="D242" s="15" t="n"/>
      <c r="E242" s="15" t="n"/>
      <c r="F242" s="17" t="n"/>
      <c r="G242" s="18" t="n"/>
      <c r="H242" s="17" t="n"/>
      <c r="I242" s="7">
        <f>IF(F242="","",F242-N(H242))</f>
        <v/>
      </c>
      <c r="J242" s="12">
        <f>IF(F242="","",IF(I242&lt;=0,"Soldé",IF(AND(G242&lt;&gt;"",TODAY()&gt;G242),"EN RETARD","En cours")))</f>
        <v/>
      </c>
    </row>
    <row r="243">
      <c r="A243" s="15" t="n"/>
      <c r="B243" s="18" t="n"/>
      <c r="C243" s="15" t="n"/>
      <c r="D243" s="15" t="n"/>
      <c r="E243" s="15" t="n"/>
      <c r="F243" s="17" t="n"/>
      <c r="G243" s="18" t="n"/>
      <c r="H243" s="17" t="n"/>
      <c r="I243" s="7">
        <f>IF(F243="","",F243-N(H243))</f>
        <v/>
      </c>
      <c r="J243" s="12">
        <f>IF(F243="","",IF(I243&lt;=0,"Soldé",IF(AND(G243&lt;&gt;"",TODAY()&gt;G243),"EN RETARD","En cours")))</f>
        <v/>
      </c>
    </row>
    <row r="244">
      <c r="A244" s="15" t="n"/>
      <c r="B244" s="18" t="n"/>
      <c r="C244" s="15" t="n"/>
      <c r="D244" s="15" t="n"/>
      <c r="E244" s="15" t="n"/>
      <c r="F244" s="17" t="n"/>
      <c r="G244" s="18" t="n"/>
      <c r="H244" s="17" t="n"/>
      <c r="I244" s="7">
        <f>IF(F244="","",F244-N(H244))</f>
        <v/>
      </c>
      <c r="J244" s="12">
        <f>IF(F244="","",IF(I244&lt;=0,"Soldé",IF(AND(G244&lt;&gt;"",TODAY()&gt;G244),"EN RETARD","En cours")))</f>
        <v/>
      </c>
    </row>
    <row r="245">
      <c r="A245" s="15" t="n"/>
      <c r="B245" s="18" t="n"/>
      <c r="C245" s="15" t="n"/>
      <c r="D245" s="15" t="n"/>
      <c r="E245" s="15" t="n"/>
      <c r="F245" s="17" t="n"/>
      <c r="G245" s="18" t="n"/>
      <c r="H245" s="17" t="n"/>
      <c r="I245" s="7">
        <f>IF(F245="","",F245-N(H245))</f>
        <v/>
      </c>
      <c r="J245" s="12">
        <f>IF(F245="","",IF(I245&lt;=0,"Soldé",IF(AND(G245&lt;&gt;"",TODAY()&gt;G245),"EN RETARD","En cours")))</f>
        <v/>
      </c>
    </row>
    <row r="246">
      <c r="A246" s="15" t="n"/>
      <c r="B246" s="18" t="n"/>
      <c r="C246" s="15" t="n"/>
      <c r="D246" s="15" t="n"/>
      <c r="E246" s="15" t="n"/>
      <c r="F246" s="17" t="n"/>
      <c r="G246" s="18" t="n"/>
      <c r="H246" s="17" t="n"/>
      <c r="I246" s="7">
        <f>IF(F246="","",F246-N(H246))</f>
        <v/>
      </c>
      <c r="J246" s="12">
        <f>IF(F246="","",IF(I246&lt;=0,"Soldé",IF(AND(G246&lt;&gt;"",TODAY()&gt;G246),"EN RETARD","En cours")))</f>
        <v/>
      </c>
    </row>
    <row r="247">
      <c r="A247" s="15" t="n"/>
      <c r="B247" s="18" t="n"/>
      <c r="C247" s="15" t="n"/>
      <c r="D247" s="15" t="n"/>
      <c r="E247" s="15" t="n"/>
      <c r="F247" s="17" t="n"/>
      <c r="G247" s="18" t="n"/>
      <c r="H247" s="17" t="n"/>
      <c r="I247" s="7">
        <f>IF(F247="","",F247-N(H247))</f>
        <v/>
      </c>
      <c r="J247" s="12">
        <f>IF(F247="","",IF(I247&lt;=0,"Soldé",IF(AND(G247&lt;&gt;"",TODAY()&gt;G247),"EN RETARD","En cours")))</f>
        <v/>
      </c>
    </row>
    <row r="248">
      <c r="A248" s="15" t="n"/>
      <c r="B248" s="18" t="n"/>
      <c r="C248" s="15" t="n"/>
      <c r="D248" s="15" t="n"/>
      <c r="E248" s="15" t="n"/>
      <c r="F248" s="17" t="n"/>
      <c r="G248" s="18" t="n"/>
      <c r="H248" s="17" t="n"/>
      <c r="I248" s="7">
        <f>IF(F248="","",F248-N(H248))</f>
        <v/>
      </c>
      <c r="J248" s="12">
        <f>IF(F248="","",IF(I248&lt;=0,"Soldé",IF(AND(G248&lt;&gt;"",TODAY()&gt;G248),"EN RETARD","En cours")))</f>
        <v/>
      </c>
    </row>
    <row r="249">
      <c r="A249" s="15" t="n"/>
      <c r="B249" s="18" t="n"/>
      <c r="C249" s="15" t="n"/>
      <c r="D249" s="15" t="n"/>
      <c r="E249" s="15" t="n"/>
      <c r="F249" s="17" t="n"/>
      <c r="G249" s="18" t="n"/>
      <c r="H249" s="17" t="n"/>
      <c r="I249" s="7">
        <f>IF(F249="","",F249-N(H249))</f>
        <v/>
      </c>
      <c r="J249" s="12">
        <f>IF(F249="","",IF(I249&lt;=0,"Soldé",IF(AND(G249&lt;&gt;"",TODAY()&gt;G249),"EN RETARD","En cours")))</f>
        <v/>
      </c>
    </row>
    <row r="250">
      <c r="A250" s="15" t="n"/>
      <c r="B250" s="18" t="n"/>
      <c r="C250" s="15" t="n"/>
      <c r="D250" s="15" t="n"/>
      <c r="E250" s="15" t="n"/>
      <c r="F250" s="17" t="n"/>
      <c r="G250" s="18" t="n"/>
      <c r="H250" s="17" t="n"/>
      <c r="I250" s="7">
        <f>IF(F250="","",F250-N(H250))</f>
        <v/>
      </c>
      <c r="J250" s="12">
        <f>IF(F250="","",IF(I250&lt;=0,"Soldé",IF(AND(G250&lt;&gt;"",TODAY()&gt;G250),"EN RETARD","En cours")))</f>
        <v/>
      </c>
    </row>
    <row r="251">
      <c r="A251" s="15" t="n"/>
      <c r="B251" s="18" t="n"/>
      <c r="C251" s="15" t="n"/>
      <c r="D251" s="15" t="n"/>
      <c r="E251" s="15" t="n"/>
      <c r="F251" s="17" t="n"/>
      <c r="G251" s="18" t="n"/>
      <c r="H251" s="17" t="n"/>
      <c r="I251" s="7">
        <f>IF(F251="","",F251-N(H251))</f>
        <v/>
      </c>
      <c r="J251" s="12">
        <f>IF(F251="","",IF(I251&lt;=0,"Soldé",IF(AND(G251&lt;&gt;"",TODAY()&gt;G251),"EN RETARD","En cours")))</f>
        <v/>
      </c>
    </row>
    <row r="252">
      <c r="A252" s="15" t="n"/>
      <c r="B252" s="18" t="n"/>
      <c r="C252" s="15" t="n"/>
      <c r="D252" s="15" t="n"/>
      <c r="E252" s="15" t="n"/>
      <c r="F252" s="17" t="n"/>
      <c r="G252" s="18" t="n"/>
      <c r="H252" s="17" t="n"/>
      <c r="I252" s="7">
        <f>IF(F252="","",F252-N(H252))</f>
        <v/>
      </c>
      <c r="J252" s="12">
        <f>IF(F252="","",IF(I252&lt;=0,"Soldé",IF(AND(G252&lt;&gt;"",TODAY()&gt;G252),"EN RETARD","En cours")))</f>
        <v/>
      </c>
    </row>
    <row r="253">
      <c r="A253" s="15" t="n"/>
      <c r="B253" s="18" t="n"/>
      <c r="C253" s="15" t="n"/>
      <c r="D253" s="15" t="n"/>
      <c r="E253" s="15" t="n"/>
      <c r="F253" s="17" t="n"/>
      <c r="G253" s="18" t="n"/>
      <c r="H253" s="17" t="n"/>
      <c r="I253" s="7">
        <f>IF(F253="","",F253-N(H253))</f>
        <v/>
      </c>
      <c r="J253" s="12">
        <f>IF(F253="","",IF(I253&lt;=0,"Soldé",IF(AND(G253&lt;&gt;"",TODAY()&gt;G253),"EN RETARD","En cours")))</f>
        <v/>
      </c>
    </row>
    <row r="254">
      <c r="A254" s="15" t="n"/>
      <c r="B254" s="18" t="n"/>
      <c r="C254" s="15" t="n"/>
      <c r="D254" s="15" t="n"/>
      <c r="E254" s="15" t="n"/>
      <c r="F254" s="17" t="n"/>
      <c r="G254" s="18" t="n"/>
      <c r="H254" s="17" t="n"/>
      <c r="I254" s="7">
        <f>IF(F254="","",F254-N(H254))</f>
        <v/>
      </c>
      <c r="J254" s="12">
        <f>IF(F254="","",IF(I254&lt;=0,"Soldé",IF(AND(G254&lt;&gt;"",TODAY()&gt;G254),"EN RETARD","En cours")))</f>
        <v/>
      </c>
    </row>
    <row r="255">
      <c r="A255" s="15" t="n"/>
      <c r="B255" s="18" t="n"/>
      <c r="C255" s="15" t="n"/>
      <c r="D255" s="15" t="n"/>
      <c r="E255" s="15" t="n"/>
      <c r="F255" s="17" t="n"/>
      <c r="G255" s="18" t="n"/>
      <c r="H255" s="17" t="n"/>
      <c r="I255" s="7">
        <f>IF(F255="","",F255-N(H255))</f>
        <v/>
      </c>
      <c r="J255" s="12">
        <f>IF(F255="","",IF(I255&lt;=0,"Soldé",IF(AND(G255&lt;&gt;"",TODAY()&gt;G255),"EN RETARD","En cours")))</f>
        <v/>
      </c>
    </row>
    <row r="256">
      <c r="A256" s="15" t="n"/>
      <c r="B256" s="18" t="n"/>
      <c r="C256" s="15" t="n"/>
      <c r="D256" s="15" t="n"/>
      <c r="E256" s="15" t="n"/>
      <c r="F256" s="17" t="n"/>
      <c r="G256" s="18" t="n"/>
      <c r="H256" s="17" t="n"/>
      <c r="I256" s="7">
        <f>IF(F256="","",F256-N(H256))</f>
        <v/>
      </c>
      <c r="J256" s="12">
        <f>IF(F256="","",IF(I256&lt;=0,"Soldé",IF(AND(G256&lt;&gt;"",TODAY()&gt;G256),"EN RETARD","En cours")))</f>
        <v/>
      </c>
    </row>
    <row r="257">
      <c r="A257" s="15" t="n"/>
      <c r="B257" s="18" t="n"/>
      <c r="C257" s="15" t="n"/>
      <c r="D257" s="15" t="n"/>
      <c r="E257" s="15" t="n"/>
      <c r="F257" s="17" t="n"/>
      <c r="G257" s="18" t="n"/>
      <c r="H257" s="17" t="n"/>
      <c r="I257" s="7">
        <f>IF(F257="","",F257-N(H257))</f>
        <v/>
      </c>
      <c r="J257" s="12">
        <f>IF(F257="","",IF(I257&lt;=0,"Soldé",IF(AND(G257&lt;&gt;"",TODAY()&gt;G257),"EN RETARD","En cours")))</f>
        <v/>
      </c>
    </row>
    <row r="258">
      <c r="A258" s="15" t="n"/>
      <c r="B258" s="18" t="n"/>
      <c r="C258" s="15" t="n"/>
      <c r="D258" s="15" t="n"/>
      <c r="E258" s="15" t="n"/>
      <c r="F258" s="17" t="n"/>
      <c r="G258" s="18" t="n"/>
      <c r="H258" s="17" t="n"/>
      <c r="I258" s="7">
        <f>IF(F258="","",F258-N(H258))</f>
        <v/>
      </c>
      <c r="J258" s="12">
        <f>IF(F258="","",IF(I258&lt;=0,"Soldé",IF(AND(G258&lt;&gt;"",TODAY()&gt;G258),"EN RETARD","En cours")))</f>
        <v/>
      </c>
    </row>
    <row r="259">
      <c r="A259" s="15" t="n"/>
      <c r="B259" s="18" t="n"/>
      <c r="C259" s="15" t="n"/>
      <c r="D259" s="15" t="n"/>
      <c r="E259" s="15" t="n"/>
      <c r="F259" s="17" t="n"/>
      <c r="G259" s="18" t="n"/>
      <c r="H259" s="17" t="n"/>
      <c r="I259" s="7">
        <f>IF(F259="","",F259-N(H259))</f>
        <v/>
      </c>
      <c r="J259" s="12">
        <f>IF(F259="","",IF(I259&lt;=0,"Soldé",IF(AND(G259&lt;&gt;"",TODAY()&gt;G259),"EN RETARD","En cours")))</f>
        <v/>
      </c>
    </row>
    <row r="260">
      <c r="A260" s="15" t="n"/>
      <c r="B260" s="18" t="n"/>
      <c r="C260" s="15" t="n"/>
      <c r="D260" s="15" t="n"/>
      <c r="E260" s="15" t="n"/>
      <c r="F260" s="17" t="n"/>
      <c r="G260" s="18" t="n"/>
      <c r="H260" s="17" t="n"/>
      <c r="I260" s="7">
        <f>IF(F260="","",F260-N(H260))</f>
        <v/>
      </c>
      <c r="J260" s="12">
        <f>IF(F260="","",IF(I260&lt;=0,"Soldé",IF(AND(G260&lt;&gt;"",TODAY()&gt;G260),"EN RETARD","En cours")))</f>
        <v/>
      </c>
    </row>
    <row r="261">
      <c r="A261" s="15" t="n"/>
      <c r="B261" s="18" t="n"/>
      <c r="C261" s="15" t="n"/>
      <c r="D261" s="15" t="n"/>
      <c r="E261" s="15" t="n"/>
      <c r="F261" s="17" t="n"/>
      <c r="G261" s="18" t="n"/>
      <c r="H261" s="17" t="n"/>
      <c r="I261" s="7">
        <f>IF(F261="","",F261-N(H261))</f>
        <v/>
      </c>
      <c r="J261" s="12">
        <f>IF(F261="","",IF(I261&lt;=0,"Soldé",IF(AND(G261&lt;&gt;"",TODAY()&gt;G261),"EN RETARD","En cours")))</f>
        <v/>
      </c>
    </row>
    <row r="262">
      <c r="A262" s="15" t="n"/>
      <c r="B262" s="18" t="n"/>
      <c r="C262" s="15" t="n"/>
      <c r="D262" s="15" t="n"/>
      <c r="E262" s="15" t="n"/>
      <c r="F262" s="17" t="n"/>
      <c r="G262" s="18" t="n"/>
      <c r="H262" s="17" t="n"/>
      <c r="I262" s="7">
        <f>IF(F262="","",F262-N(H262))</f>
        <v/>
      </c>
      <c r="J262" s="12">
        <f>IF(F262="","",IF(I262&lt;=0,"Soldé",IF(AND(G262&lt;&gt;"",TODAY()&gt;G262),"EN RETARD","En cours")))</f>
        <v/>
      </c>
    </row>
    <row r="263">
      <c r="A263" s="15" t="n"/>
      <c r="B263" s="18" t="n"/>
      <c r="C263" s="15" t="n"/>
      <c r="D263" s="15" t="n"/>
      <c r="E263" s="15" t="n"/>
      <c r="F263" s="17" t="n"/>
      <c r="G263" s="18" t="n"/>
      <c r="H263" s="17" t="n"/>
      <c r="I263" s="7">
        <f>IF(F263="","",F263-N(H263))</f>
        <v/>
      </c>
      <c r="J263" s="12">
        <f>IF(F263="","",IF(I263&lt;=0,"Soldé",IF(AND(G263&lt;&gt;"",TODAY()&gt;G263),"EN RETARD","En cours")))</f>
        <v/>
      </c>
    </row>
    <row r="264">
      <c r="A264" s="15" t="n"/>
      <c r="B264" s="18" t="n"/>
      <c r="C264" s="15" t="n"/>
      <c r="D264" s="15" t="n"/>
      <c r="E264" s="15" t="n"/>
      <c r="F264" s="17" t="n"/>
      <c r="G264" s="18" t="n"/>
      <c r="H264" s="17" t="n"/>
      <c r="I264" s="7">
        <f>IF(F264="","",F264-N(H264))</f>
        <v/>
      </c>
      <c r="J264" s="12">
        <f>IF(F264="","",IF(I264&lt;=0,"Soldé",IF(AND(G264&lt;&gt;"",TODAY()&gt;G264),"EN RETARD","En cours")))</f>
        <v/>
      </c>
    </row>
    <row r="265">
      <c r="A265" s="15" t="n"/>
      <c r="B265" s="18" t="n"/>
      <c r="C265" s="15" t="n"/>
      <c r="D265" s="15" t="n"/>
      <c r="E265" s="15" t="n"/>
      <c r="F265" s="17" t="n"/>
      <c r="G265" s="18" t="n"/>
      <c r="H265" s="17" t="n"/>
      <c r="I265" s="7">
        <f>IF(F265="","",F265-N(H265))</f>
        <v/>
      </c>
      <c r="J265" s="12">
        <f>IF(F265="","",IF(I265&lt;=0,"Soldé",IF(AND(G265&lt;&gt;"",TODAY()&gt;G265),"EN RETARD","En cours")))</f>
        <v/>
      </c>
    </row>
    <row r="266">
      <c r="A266" s="15" t="n"/>
      <c r="B266" s="18" t="n"/>
      <c r="C266" s="15" t="n"/>
      <c r="D266" s="15" t="n"/>
      <c r="E266" s="15" t="n"/>
      <c r="F266" s="17" t="n"/>
      <c r="G266" s="18" t="n"/>
      <c r="H266" s="17" t="n"/>
      <c r="I266" s="7">
        <f>IF(F266="","",F266-N(H266))</f>
        <v/>
      </c>
      <c r="J266" s="12">
        <f>IF(F266="","",IF(I266&lt;=0,"Soldé",IF(AND(G266&lt;&gt;"",TODAY()&gt;G266),"EN RETARD","En cours")))</f>
        <v/>
      </c>
    </row>
    <row r="267">
      <c r="A267" s="15" t="n"/>
      <c r="B267" s="18" t="n"/>
      <c r="C267" s="15" t="n"/>
      <c r="D267" s="15" t="n"/>
      <c r="E267" s="15" t="n"/>
      <c r="F267" s="17" t="n"/>
      <c r="G267" s="18" t="n"/>
      <c r="H267" s="17" t="n"/>
      <c r="I267" s="7">
        <f>IF(F267="","",F267-N(H267))</f>
        <v/>
      </c>
      <c r="J267" s="12">
        <f>IF(F267="","",IF(I267&lt;=0,"Soldé",IF(AND(G267&lt;&gt;"",TODAY()&gt;G267),"EN RETARD","En cours")))</f>
        <v/>
      </c>
    </row>
    <row r="268">
      <c r="A268" s="15" t="n"/>
      <c r="B268" s="18" t="n"/>
      <c r="C268" s="15" t="n"/>
      <c r="D268" s="15" t="n"/>
      <c r="E268" s="15" t="n"/>
      <c r="F268" s="17" t="n"/>
      <c r="G268" s="18" t="n"/>
      <c r="H268" s="17" t="n"/>
      <c r="I268" s="7">
        <f>IF(F268="","",F268-N(H268))</f>
        <v/>
      </c>
      <c r="J268" s="12">
        <f>IF(F268="","",IF(I268&lt;=0,"Soldé",IF(AND(G268&lt;&gt;"",TODAY()&gt;G268),"EN RETARD","En cours")))</f>
        <v/>
      </c>
    </row>
    <row r="269">
      <c r="A269" s="15" t="n"/>
      <c r="B269" s="18" t="n"/>
      <c r="C269" s="15" t="n"/>
      <c r="D269" s="15" t="n"/>
      <c r="E269" s="15" t="n"/>
      <c r="F269" s="17" t="n"/>
      <c r="G269" s="18" t="n"/>
      <c r="H269" s="17" t="n"/>
      <c r="I269" s="7">
        <f>IF(F269="","",F269-N(H269))</f>
        <v/>
      </c>
      <c r="J269" s="12">
        <f>IF(F269="","",IF(I269&lt;=0,"Soldé",IF(AND(G269&lt;&gt;"",TODAY()&gt;G269),"EN RETARD","En cours")))</f>
        <v/>
      </c>
    </row>
    <row r="270">
      <c r="A270" s="15" t="n"/>
      <c r="B270" s="18" t="n"/>
      <c r="C270" s="15" t="n"/>
      <c r="D270" s="15" t="n"/>
      <c r="E270" s="15" t="n"/>
      <c r="F270" s="17" t="n"/>
      <c r="G270" s="18" t="n"/>
      <c r="H270" s="17" t="n"/>
      <c r="I270" s="7">
        <f>IF(F270="","",F270-N(H270))</f>
        <v/>
      </c>
      <c r="J270" s="12">
        <f>IF(F270="","",IF(I270&lt;=0,"Soldé",IF(AND(G270&lt;&gt;"",TODAY()&gt;G270),"EN RETARD","En cours")))</f>
        <v/>
      </c>
    </row>
    <row r="271">
      <c r="A271" s="15" t="n"/>
      <c r="B271" s="18" t="n"/>
      <c r="C271" s="15" t="n"/>
      <c r="D271" s="15" t="n"/>
      <c r="E271" s="15" t="n"/>
      <c r="F271" s="17" t="n"/>
      <c r="G271" s="18" t="n"/>
      <c r="H271" s="17" t="n"/>
      <c r="I271" s="7">
        <f>IF(F271="","",F271-N(H271))</f>
        <v/>
      </c>
      <c r="J271" s="12">
        <f>IF(F271="","",IF(I271&lt;=0,"Soldé",IF(AND(G271&lt;&gt;"",TODAY()&gt;G271),"EN RETARD","En cours")))</f>
        <v/>
      </c>
    </row>
    <row r="272">
      <c r="A272" s="15" t="n"/>
      <c r="B272" s="18" t="n"/>
      <c r="C272" s="15" t="n"/>
      <c r="D272" s="15" t="n"/>
      <c r="E272" s="15" t="n"/>
      <c r="F272" s="17" t="n"/>
      <c r="G272" s="18" t="n"/>
      <c r="H272" s="17" t="n"/>
      <c r="I272" s="7">
        <f>IF(F272="","",F272-N(H272))</f>
        <v/>
      </c>
      <c r="J272" s="12">
        <f>IF(F272="","",IF(I272&lt;=0,"Soldé",IF(AND(G272&lt;&gt;"",TODAY()&gt;G272),"EN RETARD","En cours")))</f>
        <v/>
      </c>
    </row>
    <row r="273">
      <c r="A273" s="15" t="n"/>
      <c r="B273" s="18" t="n"/>
      <c r="C273" s="15" t="n"/>
      <c r="D273" s="15" t="n"/>
      <c r="E273" s="15" t="n"/>
      <c r="F273" s="17" t="n"/>
      <c r="G273" s="18" t="n"/>
      <c r="H273" s="17" t="n"/>
      <c r="I273" s="7">
        <f>IF(F273="","",F273-N(H273))</f>
        <v/>
      </c>
      <c r="J273" s="12">
        <f>IF(F273="","",IF(I273&lt;=0,"Soldé",IF(AND(G273&lt;&gt;"",TODAY()&gt;G273),"EN RETARD","En cours")))</f>
        <v/>
      </c>
    </row>
    <row r="274">
      <c r="A274" s="15" t="n"/>
      <c r="B274" s="18" t="n"/>
      <c r="C274" s="15" t="n"/>
      <c r="D274" s="15" t="n"/>
      <c r="E274" s="15" t="n"/>
      <c r="F274" s="17" t="n"/>
      <c r="G274" s="18" t="n"/>
      <c r="H274" s="17" t="n"/>
      <c r="I274" s="7">
        <f>IF(F274="","",F274-N(H274))</f>
        <v/>
      </c>
      <c r="J274" s="12">
        <f>IF(F274="","",IF(I274&lt;=0,"Soldé",IF(AND(G274&lt;&gt;"",TODAY()&gt;G274),"EN RETARD","En cours")))</f>
        <v/>
      </c>
    </row>
    <row r="275">
      <c r="A275" s="15" t="n"/>
      <c r="B275" s="18" t="n"/>
      <c r="C275" s="15" t="n"/>
      <c r="D275" s="15" t="n"/>
      <c r="E275" s="15" t="n"/>
      <c r="F275" s="17" t="n"/>
      <c r="G275" s="18" t="n"/>
      <c r="H275" s="17" t="n"/>
      <c r="I275" s="7">
        <f>IF(F275="","",F275-N(H275))</f>
        <v/>
      </c>
      <c r="J275" s="12">
        <f>IF(F275="","",IF(I275&lt;=0,"Soldé",IF(AND(G275&lt;&gt;"",TODAY()&gt;G275),"EN RETARD","En cours")))</f>
        <v/>
      </c>
    </row>
    <row r="276">
      <c r="A276" s="15" t="n"/>
      <c r="B276" s="18" t="n"/>
      <c r="C276" s="15" t="n"/>
      <c r="D276" s="15" t="n"/>
      <c r="E276" s="15" t="n"/>
      <c r="F276" s="17" t="n"/>
      <c r="G276" s="18" t="n"/>
      <c r="H276" s="17" t="n"/>
      <c r="I276" s="7">
        <f>IF(F276="","",F276-N(H276))</f>
        <v/>
      </c>
      <c r="J276" s="12">
        <f>IF(F276="","",IF(I276&lt;=0,"Soldé",IF(AND(G276&lt;&gt;"",TODAY()&gt;G276),"EN RETARD","En cours")))</f>
        <v/>
      </c>
    </row>
    <row r="277">
      <c r="A277" s="15" t="n"/>
      <c r="B277" s="18" t="n"/>
      <c r="C277" s="15" t="n"/>
      <c r="D277" s="15" t="n"/>
      <c r="E277" s="15" t="n"/>
      <c r="F277" s="17" t="n"/>
      <c r="G277" s="18" t="n"/>
      <c r="H277" s="17" t="n"/>
      <c r="I277" s="7">
        <f>IF(F277="","",F277-N(H277))</f>
        <v/>
      </c>
      <c r="J277" s="12">
        <f>IF(F277="","",IF(I277&lt;=0,"Soldé",IF(AND(G277&lt;&gt;"",TODAY()&gt;G277),"EN RETARD","En cours")))</f>
        <v/>
      </c>
    </row>
    <row r="278">
      <c r="A278" s="15" t="n"/>
      <c r="B278" s="18" t="n"/>
      <c r="C278" s="15" t="n"/>
      <c r="D278" s="15" t="n"/>
      <c r="E278" s="15" t="n"/>
      <c r="F278" s="17" t="n"/>
      <c r="G278" s="18" t="n"/>
      <c r="H278" s="17" t="n"/>
      <c r="I278" s="7">
        <f>IF(F278="","",F278-N(H278))</f>
        <v/>
      </c>
      <c r="J278" s="12">
        <f>IF(F278="","",IF(I278&lt;=0,"Soldé",IF(AND(G278&lt;&gt;"",TODAY()&gt;G278),"EN RETARD","En cours")))</f>
        <v/>
      </c>
    </row>
    <row r="279">
      <c r="A279" s="15" t="n"/>
      <c r="B279" s="18" t="n"/>
      <c r="C279" s="15" t="n"/>
      <c r="D279" s="15" t="n"/>
      <c r="E279" s="15" t="n"/>
      <c r="F279" s="17" t="n"/>
      <c r="G279" s="18" t="n"/>
      <c r="H279" s="17" t="n"/>
      <c r="I279" s="7">
        <f>IF(F279="","",F279-N(H279))</f>
        <v/>
      </c>
      <c r="J279" s="12">
        <f>IF(F279="","",IF(I279&lt;=0,"Soldé",IF(AND(G279&lt;&gt;"",TODAY()&gt;G279),"EN RETARD","En cours")))</f>
        <v/>
      </c>
    </row>
    <row r="280">
      <c r="A280" s="15" t="n"/>
      <c r="B280" s="18" t="n"/>
      <c r="C280" s="15" t="n"/>
      <c r="D280" s="15" t="n"/>
      <c r="E280" s="15" t="n"/>
      <c r="F280" s="17" t="n"/>
      <c r="G280" s="18" t="n"/>
      <c r="H280" s="17" t="n"/>
      <c r="I280" s="7">
        <f>IF(F280="","",F280-N(H280))</f>
        <v/>
      </c>
      <c r="J280" s="12">
        <f>IF(F280="","",IF(I280&lt;=0,"Soldé",IF(AND(G280&lt;&gt;"",TODAY()&gt;G280),"EN RETARD","En cours")))</f>
        <v/>
      </c>
    </row>
    <row r="281">
      <c r="A281" s="15" t="n"/>
      <c r="B281" s="18" t="n"/>
      <c r="C281" s="15" t="n"/>
      <c r="D281" s="15" t="n"/>
      <c r="E281" s="15" t="n"/>
      <c r="F281" s="17" t="n"/>
      <c r="G281" s="18" t="n"/>
      <c r="H281" s="17" t="n"/>
      <c r="I281" s="7">
        <f>IF(F281="","",F281-N(H281))</f>
        <v/>
      </c>
      <c r="J281" s="12">
        <f>IF(F281="","",IF(I281&lt;=0,"Soldé",IF(AND(G281&lt;&gt;"",TODAY()&gt;G281),"EN RETARD","En cours")))</f>
        <v/>
      </c>
    </row>
    <row r="282">
      <c r="A282" s="15" t="n"/>
      <c r="B282" s="18" t="n"/>
      <c r="C282" s="15" t="n"/>
      <c r="D282" s="15" t="n"/>
      <c r="E282" s="15" t="n"/>
      <c r="F282" s="17" t="n"/>
      <c r="G282" s="18" t="n"/>
      <c r="H282" s="17" t="n"/>
      <c r="I282" s="7">
        <f>IF(F282="","",F282-N(H282))</f>
        <v/>
      </c>
      <c r="J282" s="12">
        <f>IF(F282="","",IF(I282&lt;=0,"Soldé",IF(AND(G282&lt;&gt;"",TODAY()&gt;G282),"EN RETARD","En cours")))</f>
        <v/>
      </c>
    </row>
    <row r="283">
      <c r="A283" s="15" t="n"/>
      <c r="B283" s="18" t="n"/>
      <c r="C283" s="15" t="n"/>
      <c r="D283" s="15" t="n"/>
      <c r="E283" s="15" t="n"/>
      <c r="F283" s="17" t="n"/>
      <c r="G283" s="18" t="n"/>
      <c r="H283" s="17" t="n"/>
      <c r="I283" s="7">
        <f>IF(F283="","",F283-N(H283))</f>
        <v/>
      </c>
      <c r="J283" s="12">
        <f>IF(F283="","",IF(I283&lt;=0,"Soldé",IF(AND(G283&lt;&gt;"",TODAY()&gt;G283),"EN RETARD","En cours")))</f>
        <v/>
      </c>
    </row>
    <row r="284">
      <c r="A284" s="15" t="n"/>
      <c r="B284" s="18" t="n"/>
      <c r="C284" s="15" t="n"/>
      <c r="D284" s="15" t="n"/>
      <c r="E284" s="15" t="n"/>
      <c r="F284" s="17" t="n"/>
      <c r="G284" s="18" t="n"/>
      <c r="H284" s="17" t="n"/>
      <c r="I284" s="7">
        <f>IF(F284="","",F284-N(H284))</f>
        <v/>
      </c>
      <c r="J284" s="12">
        <f>IF(F284="","",IF(I284&lt;=0,"Soldé",IF(AND(G284&lt;&gt;"",TODAY()&gt;G284),"EN RETARD","En cours")))</f>
        <v/>
      </c>
    </row>
    <row r="285">
      <c r="A285" s="15" t="n"/>
      <c r="B285" s="18" t="n"/>
      <c r="C285" s="15" t="n"/>
      <c r="D285" s="15" t="n"/>
      <c r="E285" s="15" t="n"/>
      <c r="F285" s="17" t="n"/>
      <c r="G285" s="18" t="n"/>
      <c r="H285" s="17" t="n"/>
      <c r="I285" s="7">
        <f>IF(F285="","",F285-N(H285))</f>
        <v/>
      </c>
      <c r="J285" s="12">
        <f>IF(F285="","",IF(I285&lt;=0,"Soldé",IF(AND(G285&lt;&gt;"",TODAY()&gt;G285),"EN RETARD","En cours")))</f>
        <v/>
      </c>
    </row>
    <row r="286">
      <c r="A286" s="15" t="n"/>
      <c r="B286" s="18" t="n"/>
      <c r="C286" s="15" t="n"/>
      <c r="D286" s="15" t="n"/>
      <c r="E286" s="15" t="n"/>
      <c r="F286" s="17" t="n"/>
      <c r="G286" s="18" t="n"/>
      <c r="H286" s="17" t="n"/>
      <c r="I286" s="7">
        <f>IF(F286="","",F286-N(H286))</f>
        <v/>
      </c>
      <c r="J286" s="12">
        <f>IF(F286="","",IF(I286&lt;=0,"Soldé",IF(AND(G286&lt;&gt;"",TODAY()&gt;G286),"EN RETARD","En cours")))</f>
        <v/>
      </c>
    </row>
    <row r="287">
      <c r="A287" s="15" t="n"/>
      <c r="B287" s="18" t="n"/>
      <c r="C287" s="15" t="n"/>
      <c r="D287" s="15" t="n"/>
      <c r="E287" s="15" t="n"/>
      <c r="F287" s="17" t="n"/>
      <c r="G287" s="18" t="n"/>
      <c r="H287" s="17" t="n"/>
      <c r="I287" s="7">
        <f>IF(F287="","",F287-N(H287))</f>
        <v/>
      </c>
      <c r="J287" s="12">
        <f>IF(F287="","",IF(I287&lt;=0,"Soldé",IF(AND(G287&lt;&gt;"",TODAY()&gt;G287),"EN RETARD","En cours")))</f>
        <v/>
      </c>
    </row>
    <row r="288">
      <c r="A288" s="15" t="n"/>
      <c r="B288" s="18" t="n"/>
      <c r="C288" s="15" t="n"/>
      <c r="D288" s="15" t="n"/>
      <c r="E288" s="15" t="n"/>
      <c r="F288" s="17" t="n"/>
      <c r="G288" s="18" t="n"/>
      <c r="H288" s="17" t="n"/>
      <c r="I288" s="7">
        <f>IF(F288="","",F288-N(H288))</f>
        <v/>
      </c>
      <c r="J288" s="12">
        <f>IF(F288="","",IF(I288&lt;=0,"Soldé",IF(AND(G288&lt;&gt;"",TODAY()&gt;G288),"EN RETARD","En cours")))</f>
        <v/>
      </c>
    </row>
    <row r="289">
      <c r="A289" s="15" t="n"/>
      <c r="B289" s="18" t="n"/>
      <c r="C289" s="15" t="n"/>
      <c r="D289" s="15" t="n"/>
      <c r="E289" s="15" t="n"/>
      <c r="F289" s="17" t="n"/>
      <c r="G289" s="18" t="n"/>
      <c r="H289" s="17" t="n"/>
      <c r="I289" s="7">
        <f>IF(F289="","",F289-N(H289))</f>
        <v/>
      </c>
      <c r="J289" s="12">
        <f>IF(F289="","",IF(I289&lt;=0,"Soldé",IF(AND(G289&lt;&gt;"",TODAY()&gt;G289),"EN RETARD","En cours")))</f>
        <v/>
      </c>
    </row>
    <row r="290">
      <c r="A290" s="15" t="n"/>
      <c r="B290" s="18" t="n"/>
      <c r="C290" s="15" t="n"/>
      <c r="D290" s="15" t="n"/>
      <c r="E290" s="15" t="n"/>
      <c r="F290" s="17" t="n"/>
      <c r="G290" s="18" t="n"/>
      <c r="H290" s="17" t="n"/>
      <c r="I290" s="7">
        <f>IF(F290="","",F290-N(H290))</f>
        <v/>
      </c>
      <c r="J290" s="12">
        <f>IF(F290="","",IF(I290&lt;=0,"Soldé",IF(AND(G290&lt;&gt;"",TODAY()&gt;G290),"EN RETARD","En cours")))</f>
        <v/>
      </c>
    </row>
    <row r="291">
      <c r="A291" s="15" t="n"/>
      <c r="B291" s="18" t="n"/>
      <c r="C291" s="15" t="n"/>
      <c r="D291" s="15" t="n"/>
      <c r="E291" s="15" t="n"/>
      <c r="F291" s="17" t="n"/>
      <c r="G291" s="18" t="n"/>
      <c r="H291" s="17" t="n"/>
      <c r="I291" s="7">
        <f>IF(F291="","",F291-N(H291))</f>
        <v/>
      </c>
      <c r="J291" s="12">
        <f>IF(F291="","",IF(I291&lt;=0,"Soldé",IF(AND(G291&lt;&gt;"",TODAY()&gt;G291),"EN RETARD","En cours")))</f>
        <v/>
      </c>
    </row>
    <row r="292">
      <c r="A292" s="15" t="n"/>
      <c r="B292" s="18" t="n"/>
      <c r="C292" s="15" t="n"/>
      <c r="D292" s="15" t="n"/>
      <c r="E292" s="15" t="n"/>
      <c r="F292" s="17" t="n"/>
      <c r="G292" s="18" t="n"/>
      <c r="H292" s="17" t="n"/>
      <c r="I292" s="7">
        <f>IF(F292="","",F292-N(H292))</f>
        <v/>
      </c>
      <c r="J292" s="12">
        <f>IF(F292="","",IF(I292&lt;=0,"Soldé",IF(AND(G292&lt;&gt;"",TODAY()&gt;G292),"EN RETARD","En cours")))</f>
        <v/>
      </c>
    </row>
    <row r="293">
      <c r="A293" s="15" t="n"/>
      <c r="B293" s="18" t="n"/>
      <c r="C293" s="15" t="n"/>
      <c r="D293" s="15" t="n"/>
      <c r="E293" s="15" t="n"/>
      <c r="F293" s="17" t="n"/>
      <c r="G293" s="18" t="n"/>
      <c r="H293" s="17" t="n"/>
      <c r="I293" s="7">
        <f>IF(F293="","",F293-N(H293))</f>
        <v/>
      </c>
      <c r="J293" s="12">
        <f>IF(F293="","",IF(I293&lt;=0,"Soldé",IF(AND(G293&lt;&gt;"",TODAY()&gt;G293),"EN RETARD","En cours")))</f>
        <v/>
      </c>
    </row>
    <row r="294">
      <c r="A294" s="15" t="n"/>
      <c r="B294" s="18" t="n"/>
      <c r="C294" s="15" t="n"/>
      <c r="D294" s="15" t="n"/>
      <c r="E294" s="15" t="n"/>
      <c r="F294" s="17" t="n"/>
      <c r="G294" s="18" t="n"/>
      <c r="H294" s="17" t="n"/>
      <c r="I294" s="7">
        <f>IF(F294="","",F294-N(H294))</f>
        <v/>
      </c>
      <c r="J294" s="12">
        <f>IF(F294="","",IF(I294&lt;=0,"Soldé",IF(AND(G294&lt;&gt;"",TODAY()&gt;G294),"EN RETARD","En cours")))</f>
        <v/>
      </c>
    </row>
    <row r="295">
      <c r="A295" s="15" t="n"/>
      <c r="B295" s="18" t="n"/>
      <c r="C295" s="15" t="n"/>
      <c r="D295" s="15" t="n"/>
      <c r="E295" s="15" t="n"/>
      <c r="F295" s="17" t="n"/>
      <c r="G295" s="18" t="n"/>
      <c r="H295" s="17" t="n"/>
      <c r="I295" s="7">
        <f>IF(F295="","",F295-N(H295))</f>
        <v/>
      </c>
      <c r="J295" s="12">
        <f>IF(F295="","",IF(I295&lt;=0,"Soldé",IF(AND(G295&lt;&gt;"",TODAY()&gt;G295),"EN RETARD","En cours")))</f>
        <v/>
      </c>
    </row>
    <row r="296">
      <c r="A296" s="15" t="n"/>
      <c r="B296" s="18" t="n"/>
      <c r="C296" s="15" t="n"/>
      <c r="D296" s="15" t="n"/>
      <c r="E296" s="15" t="n"/>
      <c r="F296" s="17" t="n"/>
      <c r="G296" s="18" t="n"/>
      <c r="H296" s="17" t="n"/>
      <c r="I296" s="7">
        <f>IF(F296="","",F296-N(H296))</f>
        <v/>
      </c>
      <c r="J296" s="12">
        <f>IF(F296="","",IF(I296&lt;=0,"Soldé",IF(AND(G296&lt;&gt;"",TODAY()&gt;G296),"EN RETARD","En cours")))</f>
        <v/>
      </c>
    </row>
    <row r="297">
      <c r="A297" s="15" t="n"/>
      <c r="B297" s="18" t="n"/>
      <c r="C297" s="15" t="n"/>
      <c r="D297" s="15" t="n"/>
      <c r="E297" s="15" t="n"/>
      <c r="F297" s="17" t="n"/>
      <c r="G297" s="18" t="n"/>
      <c r="H297" s="17" t="n"/>
      <c r="I297" s="7">
        <f>IF(F297="","",F297-N(H297))</f>
        <v/>
      </c>
      <c r="J297" s="12">
        <f>IF(F297="","",IF(I297&lt;=0,"Soldé",IF(AND(G297&lt;&gt;"",TODAY()&gt;G297),"EN RETARD","En cours")))</f>
        <v/>
      </c>
    </row>
    <row r="298">
      <c r="A298" s="15" t="n"/>
      <c r="B298" s="18" t="n"/>
      <c r="C298" s="15" t="n"/>
      <c r="D298" s="15" t="n"/>
      <c r="E298" s="15" t="n"/>
      <c r="F298" s="17" t="n"/>
      <c r="G298" s="18" t="n"/>
      <c r="H298" s="17" t="n"/>
      <c r="I298" s="7">
        <f>IF(F298="","",F298-N(H298))</f>
        <v/>
      </c>
      <c r="J298" s="12">
        <f>IF(F298="","",IF(I298&lt;=0,"Soldé",IF(AND(G298&lt;&gt;"",TODAY()&gt;G298),"EN RETARD","En cours")))</f>
        <v/>
      </c>
    </row>
    <row r="299">
      <c r="A299" s="15" t="n"/>
      <c r="B299" s="18" t="n"/>
      <c r="C299" s="15" t="n"/>
      <c r="D299" s="15" t="n"/>
      <c r="E299" s="15" t="n"/>
      <c r="F299" s="17" t="n"/>
      <c r="G299" s="18" t="n"/>
      <c r="H299" s="17" t="n"/>
      <c r="I299" s="7">
        <f>IF(F299="","",F299-N(H299))</f>
        <v/>
      </c>
      <c r="J299" s="12">
        <f>IF(F299="","",IF(I299&lt;=0,"Soldé",IF(AND(G299&lt;&gt;"",TODAY()&gt;G299),"EN RETARD","En cours")))</f>
        <v/>
      </c>
    </row>
    <row r="300">
      <c r="A300" s="15" t="n"/>
      <c r="B300" s="18" t="n"/>
      <c r="C300" s="15" t="n"/>
      <c r="D300" s="15" t="n"/>
      <c r="E300" s="15" t="n"/>
      <c r="F300" s="17" t="n"/>
      <c r="G300" s="18" t="n"/>
      <c r="H300" s="17" t="n"/>
      <c r="I300" s="7">
        <f>IF(F300="","",F300-N(H300))</f>
        <v/>
      </c>
      <c r="J300" s="12">
        <f>IF(F300="","",IF(I300&lt;=0,"Soldé",IF(AND(G300&lt;&gt;"",TODAY()&gt;G300),"EN RETARD","En cours")))</f>
        <v/>
      </c>
    </row>
    <row r="301">
      <c r="A301" s="15" t="n"/>
      <c r="B301" s="18" t="n"/>
      <c r="C301" s="15" t="n"/>
      <c r="D301" s="15" t="n"/>
      <c r="E301" s="15" t="n"/>
      <c r="F301" s="17" t="n"/>
      <c r="G301" s="18" t="n"/>
      <c r="H301" s="17" t="n"/>
      <c r="I301" s="7">
        <f>IF(F301="","",F301-N(H301))</f>
        <v/>
      </c>
      <c r="J301" s="12">
        <f>IF(F301="","",IF(I301&lt;=0,"Soldé",IF(AND(G301&lt;&gt;"",TODAY()&gt;G301),"EN RETARD","En cours")))</f>
        <v/>
      </c>
    </row>
    <row r="302">
      <c r="A302" s="15" t="n"/>
      <c r="B302" s="18" t="n"/>
      <c r="C302" s="15" t="n"/>
      <c r="D302" s="15" t="n"/>
      <c r="E302" s="15" t="n"/>
      <c r="F302" s="17" t="n"/>
      <c r="G302" s="18" t="n"/>
      <c r="H302" s="17" t="n"/>
      <c r="I302" s="7">
        <f>IF(F302="","",F302-N(H302))</f>
        <v/>
      </c>
      <c r="J302" s="12">
        <f>IF(F302="","",IF(I302&lt;=0,"Soldé",IF(AND(G302&lt;&gt;"",TODAY()&gt;G302),"EN RETARD","En cours")))</f>
        <v/>
      </c>
    </row>
    <row r="303">
      <c r="A303" s="15" t="n"/>
      <c r="B303" s="18" t="n"/>
      <c r="C303" s="15" t="n"/>
      <c r="D303" s="15" t="n"/>
      <c r="E303" s="15" t="n"/>
      <c r="F303" s="17" t="n"/>
      <c r="G303" s="18" t="n"/>
      <c r="H303" s="17" t="n"/>
      <c r="I303" s="7">
        <f>IF(F303="","",F303-N(H303))</f>
        <v/>
      </c>
      <c r="J303" s="12">
        <f>IF(F303="","",IF(I303&lt;=0,"Soldé",IF(AND(G303&lt;&gt;"",TODAY()&gt;G303),"EN RETARD","En cours")))</f>
        <v/>
      </c>
    </row>
    <row r="304">
      <c r="A304" s="15" t="n"/>
      <c r="B304" s="18" t="n"/>
      <c r="C304" s="15" t="n"/>
      <c r="D304" s="15" t="n"/>
      <c r="E304" s="15" t="n"/>
      <c r="F304" s="17" t="n"/>
      <c r="G304" s="18" t="n"/>
      <c r="H304" s="17" t="n"/>
      <c r="I304" s="7">
        <f>IF(F304="","",F304-N(H304))</f>
        <v/>
      </c>
      <c r="J304" s="12">
        <f>IF(F304="","",IF(I304&lt;=0,"Soldé",IF(AND(G304&lt;&gt;"",TODAY()&gt;G304),"EN RETARD","En cours")))</f>
        <v/>
      </c>
    </row>
  </sheetData>
  <conditionalFormatting sqref="J5:J304">
    <cfRule type="cellIs" priority="1" operator="equal" dxfId="0">
      <formula>"EN RETARD"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8" customWidth="1" min="5" max="5"/>
    <col width="16" customWidth="1" min="6" max="6"/>
    <col width="8" customWidth="1" min="7" max="7"/>
  </cols>
  <sheetData>
    <row r="1">
      <c r="A1" s="1" t="inlineStr">
        <is>
          <t>La Tendresse de Ketchup — Avances sur salaire</t>
        </is>
      </c>
    </row>
    <row r="2">
      <c r="A2" s="2" t="inlineStr">
        <is>
          <t>Reporter les bons d'avance. Le total du mois est retenu sur la fiche de paiement.</t>
        </is>
      </c>
    </row>
    <row r="4" ht="30" customHeight="1">
      <c r="A4" s="5" t="inlineStr">
        <is>
          <t>Date</t>
        </is>
      </c>
      <c r="B4" s="5" t="inlineStr">
        <is>
          <t>N° bon</t>
        </is>
      </c>
      <c r="C4" s="5" t="inlineStr">
        <is>
          <t>Employé(e)</t>
        </is>
      </c>
      <c r="D4" s="5" t="inlineStr">
        <is>
          <t>Montant FCFA</t>
        </is>
      </c>
      <c r="E4" s="5" t="inlineStr">
        <is>
          <t>Mois de retenue (1-12)</t>
        </is>
      </c>
      <c r="F4" s="5" t="inlineStr">
        <is>
          <t>Retenu ? (Oui/Non)</t>
        </is>
      </c>
      <c r="G4" s="5" t="inlineStr">
        <is>
          <t>Mois</t>
        </is>
      </c>
    </row>
    <row r="5">
      <c r="A5" s="18" t="n"/>
      <c r="B5" s="15" t="n"/>
      <c r="C5" s="15" t="n"/>
      <c r="D5" s="17" t="n"/>
      <c r="E5" s="15" t="n"/>
      <c r="F5" s="15" t="n"/>
      <c r="G5" s="12">
        <f>IF(A5="","",MONTH(A5))</f>
        <v/>
      </c>
    </row>
    <row r="6">
      <c r="A6" s="18" t="n"/>
      <c r="B6" s="15" t="n"/>
      <c r="C6" s="15" t="n"/>
      <c r="D6" s="17" t="n"/>
      <c r="E6" s="15" t="n"/>
      <c r="F6" s="15" t="n"/>
      <c r="G6" s="12">
        <f>IF(A6="","",MONTH(A6))</f>
        <v/>
      </c>
    </row>
    <row r="7">
      <c r="A7" s="18" t="n"/>
      <c r="B7" s="15" t="n"/>
      <c r="C7" s="15" t="n"/>
      <c r="D7" s="17" t="n"/>
      <c r="E7" s="15" t="n"/>
      <c r="F7" s="15" t="n"/>
      <c r="G7" s="12">
        <f>IF(A7="","",MONTH(A7))</f>
        <v/>
      </c>
    </row>
    <row r="8">
      <c r="A8" s="18" t="n"/>
      <c r="B8" s="15" t="n"/>
      <c r="C8" s="15" t="n"/>
      <c r="D8" s="17" t="n"/>
      <c r="E8" s="15" t="n"/>
      <c r="F8" s="15" t="n"/>
      <c r="G8" s="12">
        <f>IF(A8="","",MONTH(A8))</f>
        <v/>
      </c>
    </row>
    <row r="9">
      <c r="A9" s="18" t="n"/>
      <c r="B9" s="15" t="n"/>
      <c r="C9" s="15" t="n"/>
      <c r="D9" s="17" t="n"/>
      <c r="E9" s="15" t="n"/>
      <c r="F9" s="15" t="n"/>
      <c r="G9" s="12">
        <f>IF(A9="","",MONTH(A9))</f>
        <v/>
      </c>
    </row>
    <row r="10">
      <c r="A10" s="18" t="n"/>
      <c r="B10" s="15" t="n"/>
      <c r="C10" s="15" t="n"/>
      <c r="D10" s="17" t="n"/>
      <c r="E10" s="15" t="n"/>
      <c r="F10" s="15" t="n"/>
      <c r="G10" s="12">
        <f>IF(A10="","",MONTH(A10))</f>
        <v/>
      </c>
    </row>
    <row r="11">
      <c r="A11" s="18" t="n"/>
      <c r="B11" s="15" t="n"/>
      <c r="C11" s="15" t="n"/>
      <c r="D11" s="17" t="n"/>
      <c r="E11" s="15" t="n"/>
      <c r="F11" s="15" t="n"/>
      <c r="G11" s="12">
        <f>IF(A11="","",MONTH(A11))</f>
        <v/>
      </c>
    </row>
    <row r="12">
      <c r="A12" s="18" t="n"/>
      <c r="B12" s="15" t="n"/>
      <c r="C12" s="15" t="n"/>
      <c r="D12" s="17" t="n"/>
      <c r="E12" s="15" t="n"/>
      <c r="F12" s="15" t="n"/>
      <c r="G12" s="12">
        <f>IF(A12="","",MONTH(A12))</f>
        <v/>
      </c>
    </row>
    <row r="13">
      <c r="A13" s="18" t="n"/>
      <c r="B13" s="15" t="n"/>
      <c r="C13" s="15" t="n"/>
      <c r="D13" s="17" t="n"/>
      <c r="E13" s="15" t="n"/>
      <c r="F13" s="15" t="n"/>
      <c r="G13" s="12">
        <f>IF(A13="","",MONTH(A13))</f>
        <v/>
      </c>
    </row>
    <row r="14">
      <c r="A14" s="18" t="n"/>
      <c r="B14" s="15" t="n"/>
      <c r="C14" s="15" t="n"/>
      <c r="D14" s="17" t="n"/>
      <c r="E14" s="15" t="n"/>
      <c r="F14" s="15" t="n"/>
      <c r="G14" s="12">
        <f>IF(A14="","",MONTH(A14))</f>
        <v/>
      </c>
    </row>
    <row r="15">
      <c r="A15" s="18" t="n"/>
      <c r="B15" s="15" t="n"/>
      <c r="C15" s="15" t="n"/>
      <c r="D15" s="17" t="n"/>
      <c r="E15" s="15" t="n"/>
      <c r="F15" s="15" t="n"/>
      <c r="G15" s="12">
        <f>IF(A15="","",MONTH(A15))</f>
        <v/>
      </c>
    </row>
    <row r="16">
      <c r="A16" s="18" t="n"/>
      <c r="B16" s="15" t="n"/>
      <c r="C16" s="15" t="n"/>
      <c r="D16" s="17" t="n"/>
      <c r="E16" s="15" t="n"/>
      <c r="F16" s="15" t="n"/>
      <c r="G16" s="12">
        <f>IF(A16="","",MONTH(A16))</f>
        <v/>
      </c>
    </row>
    <row r="17">
      <c r="A17" s="18" t="n"/>
      <c r="B17" s="15" t="n"/>
      <c r="C17" s="15" t="n"/>
      <c r="D17" s="17" t="n"/>
      <c r="E17" s="15" t="n"/>
      <c r="F17" s="15" t="n"/>
      <c r="G17" s="12">
        <f>IF(A17="","",MONTH(A17))</f>
        <v/>
      </c>
    </row>
    <row r="18">
      <c r="A18" s="18" t="n"/>
      <c r="B18" s="15" t="n"/>
      <c r="C18" s="15" t="n"/>
      <c r="D18" s="17" t="n"/>
      <c r="E18" s="15" t="n"/>
      <c r="F18" s="15" t="n"/>
      <c r="G18" s="12">
        <f>IF(A18="","",MONTH(A18))</f>
        <v/>
      </c>
    </row>
    <row r="19">
      <c r="A19" s="18" t="n"/>
      <c r="B19" s="15" t="n"/>
      <c r="C19" s="15" t="n"/>
      <c r="D19" s="17" t="n"/>
      <c r="E19" s="15" t="n"/>
      <c r="F19" s="15" t="n"/>
      <c r="G19" s="12">
        <f>IF(A19="","",MONTH(A19))</f>
        <v/>
      </c>
    </row>
    <row r="20">
      <c r="A20" s="18" t="n"/>
      <c r="B20" s="15" t="n"/>
      <c r="C20" s="15" t="n"/>
      <c r="D20" s="17" t="n"/>
      <c r="E20" s="15" t="n"/>
      <c r="F20" s="15" t="n"/>
      <c r="G20" s="12">
        <f>IF(A20="","",MONTH(A20))</f>
        <v/>
      </c>
    </row>
    <row r="21">
      <c r="A21" s="18" t="n"/>
      <c r="B21" s="15" t="n"/>
      <c r="C21" s="15" t="n"/>
      <c r="D21" s="17" t="n"/>
      <c r="E21" s="15" t="n"/>
      <c r="F21" s="15" t="n"/>
      <c r="G21" s="12">
        <f>IF(A21="","",MONTH(A21))</f>
        <v/>
      </c>
    </row>
    <row r="22">
      <c r="A22" s="18" t="n"/>
      <c r="B22" s="15" t="n"/>
      <c r="C22" s="15" t="n"/>
      <c r="D22" s="17" t="n"/>
      <c r="E22" s="15" t="n"/>
      <c r="F22" s="15" t="n"/>
      <c r="G22" s="12">
        <f>IF(A22="","",MONTH(A22))</f>
        <v/>
      </c>
    </row>
    <row r="23">
      <c r="A23" s="18" t="n"/>
      <c r="B23" s="15" t="n"/>
      <c r="C23" s="15" t="n"/>
      <c r="D23" s="17" t="n"/>
      <c r="E23" s="15" t="n"/>
      <c r="F23" s="15" t="n"/>
      <c r="G23" s="12">
        <f>IF(A23="","",MONTH(A23))</f>
        <v/>
      </c>
    </row>
    <row r="24">
      <c r="A24" s="18" t="n"/>
      <c r="B24" s="15" t="n"/>
      <c r="C24" s="15" t="n"/>
      <c r="D24" s="17" t="n"/>
      <c r="E24" s="15" t="n"/>
      <c r="F24" s="15" t="n"/>
      <c r="G24" s="12">
        <f>IF(A24="","",MONTH(A24))</f>
        <v/>
      </c>
    </row>
    <row r="25">
      <c r="A25" s="18" t="n"/>
      <c r="B25" s="15" t="n"/>
      <c r="C25" s="15" t="n"/>
      <c r="D25" s="17" t="n"/>
      <c r="E25" s="15" t="n"/>
      <c r="F25" s="15" t="n"/>
      <c r="G25" s="12">
        <f>IF(A25="","",MONTH(A25))</f>
        <v/>
      </c>
    </row>
    <row r="26">
      <c r="A26" s="18" t="n"/>
      <c r="B26" s="15" t="n"/>
      <c r="C26" s="15" t="n"/>
      <c r="D26" s="17" t="n"/>
      <c r="E26" s="15" t="n"/>
      <c r="F26" s="15" t="n"/>
      <c r="G26" s="12">
        <f>IF(A26="","",MONTH(A26))</f>
        <v/>
      </c>
    </row>
    <row r="27">
      <c r="A27" s="18" t="n"/>
      <c r="B27" s="15" t="n"/>
      <c r="C27" s="15" t="n"/>
      <c r="D27" s="17" t="n"/>
      <c r="E27" s="15" t="n"/>
      <c r="F27" s="15" t="n"/>
      <c r="G27" s="12">
        <f>IF(A27="","",MONTH(A27))</f>
        <v/>
      </c>
    </row>
    <row r="28">
      <c r="A28" s="18" t="n"/>
      <c r="B28" s="15" t="n"/>
      <c r="C28" s="15" t="n"/>
      <c r="D28" s="17" t="n"/>
      <c r="E28" s="15" t="n"/>
      <c r="F28" s="15" t="n"/>
      <c r="G28" s="12">
        <f>IF(A28="","",MONTH(A28))</f>
        <v/>
      </c>
    </row>
    <row r="29">
      <c r="A29" s="18" t="n"/>
      <c r="B29" s="15" t="n"/>
      <c r="C29" s="15" t="n"/>
      <c r="D29" s="17" t="n"/>
      <c r="E29" s="15" t="n"/>
      <c r="F29" s="15" t="n"/>
      <c r="G29" s="12">
        <f>IF(A29="","",MONTH(A29))</f>
        <v/>
      </c>
    </row>
    <row r="30">
      <c r="A30" s="18" t="n"/>
      <c r="B30" s="15" t="n"/>
      <c r="C30" s="15" t="n"/>
      <c r="D30" s="17" t="n"/>
      <c r="E30" s="15" t="n"/>
      <c r="F30" s="15" t="n"/>
      <c r="G30" s="12">
        <f>IF(A30="","",MONTH(A30))</f>
        <v/>
      </c>
    </row>
    <row r="31">
      <c r="A31" s="18" t="n"/>
      <c r="B31" s="15" t="n"/>
      <c r="C31" s="15" t="n"/>
      <c r="D31" s="17" t="n"/>
      <c r="E31" s="15" t="n"/>
      <c r="F31" s="15" t="n"/>
      <c r="G31" s="12">
        <f>IF(A31="","",MONTH(A31))</f>
        <v/>
      </c>
    </row>
    <row r="32">
      <c r="A32" s="18" t="n"/>
      <c r="B32" s="15" t="n"/>
      <c r="C32" s="15" t="n"/>
      <c r="D32" s="17" t="n"/>
      <c r="E32" s="15" t="n"/>
      <c r="F32" s="15" t="n"/>
      <c r="G32" s="12">
        <f>IF(A32="","",MONTH(A32))</f>
        <v/>
      </c>
    </row>
    <row r="33">
      <c r="A33" s="18" t="n"/>
      <c r="B33" s="15" t="n"/>
      <c r="C33" s="15" t="n"/>
      <c r="D33" s="17" t="n"/>
      <c r="E33" s="15" t="n"/>
      <c r="F33" s="15" t="n"/>
      <c r="G33" s="12">
        <f>IF(A33="","",MONTH(A33))</f>
        <v/>
      </c>
    </row>
    <row r="34">
      <c r="A34" s="18" t="n"/>
      <c r="B34" s="15" t="n"/>
      <c r="C34" s="15" t="n"/>
      <c r="D34" s="17" t="n"/>
      <c r="E34" s="15" t="n"/>
      <c r="F34" s="15" t="n"/>
      <c r="G34" s="12">
        <f>IF(A34="","",MONTH(A34))</f>
        <v/>
      </c>
    </row>
    <row r="35">
      <c r="A35" s="18" t="n"/>
      <c r="B35" s="15" t="n"/>
      <c r="C35" s="15" t="n"/>
      <c r="D35" s="17" t="n"/>
      <c r="E35" s="15" t="n"/>
      <c r="F35" s="15" t="n"/>
      <c r="G35" s="12">
        <f>IF(A35="","",MONTH(A35))</f>
        <v/>
      </c>
    </row>
    <row r="36">
      <c r="A36" s="18" t="n"/>
      <c r="B36" s="15" t="n"/>
      <c r="C36" s="15" t="n"/>
      <c r="D36" s="17" t="n"/>
      <c r="E36" s="15" t="n"/>
      <c r="F36" s="15" t="n"/>
      <c r="G36" s="12">
        <f>IF(A36="","",MONTH(A36))</f>
        <v/>
      </c>
    </row>
    <row r="37">
      <c r="A37" s="18" t="n"/>
      <c r="B37" s="15" t="n"/>
      <c r="C37" s="15" t="n"/>
      <c r="D37" s="17" t="n"/>
      <c r="E37" s="15" t="n"/>
      <c r="F37" s="15" t="n"/>
      <c r="G37" s="12">
        <f>IF(A37="","",MONTH(A37))</f>
        <v/>
      </c>
    </row>
    <row r="38">
      <c r="A38" s="18" t="n"/>
      <c r="B38" s="15" t="n"/>
      <c r="C38" s="15" t="n"/>
      <c r="D38" s="17" t="n"/>
      <c r="E38" s="15" t="n"/>
      <c r="F38" s="15" t="n"/>
      <c r="G38" s="12">
        <f>IF(A38="","",MONTH(A38))</f>
        <v/>
      </c>
    </row>
    <row r="39">
      <c r="A39" s="18" t="n"/>
      <c r="B39" s="15" t="n"/>
      <c r="C39" s="15" t="n"/>
      <c r="D39" s="17" t="n"/>
      <c r="E39" s="15" t="n"/>
      <c r="F39" s="15" t="n"/>
      <c r="G39" s="12">
        <f>IF(A39="","",MONTH(A39))</f>
        <v/>
      </c>
    </row>
    <row r="40">
      <c r="A40" s="18" t="n"/>
      <c r="B40" s="15" t="n"/>
      <c r="C40" s="15" t="n"/>
      <c r="D40" s="17" t="n"/>
      <c r="E40" s="15" t="n"/>
      <c r="F40" s="15" t="n"/>
      <c r="G40" s="12">
        <f>IF(A40="","",MONTH(A40))</f>
        <v/>
      </c>
    </row>
    <row r="41">
      <c r="A41" s="18" t="n"/>
      <c r="B41" s="15" t="n"/>
      <c r="C41" s="15" t="n"/>
      <c r="D41" s="17" t="n"/>
      <c r="E41" s="15" t="n"/>
      <c r="F41" s="15" t="n"/>
      <c r="G41" s="12">
        <f>IF(A41="","",MONTH(A41))</f>
        <v/>
      </c>
    </row>
    <row r="42">
      <c r="A42" s="18" t="n"/>
      <c r="B42" s="15" t="n"/>
      <c r="C42" s="15" t="n"/>
      <c r="D42" s="17" t="n"/>
      <c r="E42" s="15" t="n"/>
      <c r="F42" s="15" t="n"/>
      <c r="G42" s="12">
        <f>IF(A42="","",MONTH(A42))</f>
        <v/>
      </c>
    </row>
    <row r="43">
      <c r="A43" s="18" t="n"/>
      <c r="B43" s="15" t="n"/>
      <c r="C43" s="15" t="n"/>
      <c r="D43" s="17" t="n"/>
      <c r="E43" s="15" t="n"/>
      <c r="F43" s="15" t="n"/>
      <c r="G43" s="12">
        <f>IF(A43="","",MONTH(A43))</f>
        <v/>
      </c>
    </row>
    <row r="44">
      <c r="A44" s="18" t="n"/>
      <c r="B44" s="15" t="n"/>
      <c r="C44" s="15" t="n"/>
      <c r="D44" s="17" t="n"/>
      <c r="E44" s="15" t="n"/>
      <c r="F44" s="15" t="n"/>
      <c r="G44" s="12">
        <f>IF(A44="","",MONTH(A44))</f>
        <v/>
      </c>
    </row>
    <row r="45">
      <c r="A45" s="18" t="n"/>
      <c r="B45" s="15" t="n"/>
      <c r="C45" s="15" t="n"/>
      <c r="D45" s="17" t="n"/>
      <c r="E45" s="15" t="n"/>
      <c r="F45" s="15" t="n"/>
      <c r="G45" s="12">
        <f>IF(A45="","",MONTH(A45))</f>
        <v/>
      </c>
    </row>
    <row r="46">
      <c r="A46" s="18" t="n"/>
      <c r="B46" s="15" t="n"/>
      <c r="C46" s="15" t="n"/>
      <c r="D46" s="17" t="n"/>
      <c r="E46" s="15" t="n"/>
      <c r="F46" s="15" t="n"/>
      <c r="G46" s="12">
        <f>IF(A46="","",MONTH(A46))</f>
        <v/>
      </c>
    </row>
    <row r="47">
      <c r="A47" s="18" t="n"/>
      <c r="B47" s="15" t="n"/>
      <c r="C47" s="15" t="n"/>
      <c r="D47" s="17" t="n"/>
      <c r="E47" s="15" t="n"/>
      <c r="F47" s="15" t="n"/>
      <c r="G47" s="12">
        <f>IF(A47="","",MONTH(A47))</f>
        <v/>
      </c>
    </row>
    <row r="48">
      <c r="A48" s="18" t="n"/>
      <c r="B48" s="15" t="n"/>
      <c r="C48" s="15" t="n"/>
      <c r="D48" s="17" t="n"/>
      <c r="E48" s="15" t="n"/>
      <c r="F48" s="15" t="n"/>
      <c r="G48" s="12">
        <f>IF(A48="","",MONTH(A48))</f>
        <v/>
      </c>
    </row>
    <row r="49">
      <c r="A49" s="18" t="n"/>
      <c r="B49" s="15" t="n"/>
      <c r="C49" s="15" t="n"/>
      <c r="D49" s="17" t="n"/>
      <c r="E49" s="15" t="n"/>
      <c r="F49" s="15" t="n"/>
      <c r="G49" s="12">
        <f>IF(A49="","",MONTH(A49))</f>
        <v/>
      </c>
    </row>
    <row r="50">
      <c r="A50" s="18" t="n"/>
      <c r="B50" s="15" t="n"/>
      <c r="C50" s="15" t="n"/>
      <c r="D50" s="17" t="n"/>
      <c r="E50" s="15" t="n"/>
      <c r="F50" s="15" t="n"/>
      <c r="G50" s="12">
        <f>IF(A50="","",MONTH(A50))</f>
        <v/>
      </c>
    </row>
    <row r="51">
      <c r="A51" s="18" t="n"/>
      <c r="B51" s="15" t="n"/>
      <c r="C51" s="15" t="n"/>
      <c r="D51" s="17" t="n"/>
      <c r="E51" s="15" t="n"/>
      <c r="F51" s="15" t="n"/>
      <c r="G51" s="12">
        <f>IF(A51="","",MONTH(A51))</f>
        <v/>
      </c>
    </row>
    <row r="52">
      <c r="A52" s="18" t="n"/>
      <c r="B52" s="15" t="n"/>
      <c r="C52" s="15" t="n"/>
      <c r="D52" s="17" t="n"/>
      <c r="E52" s="15" t="n"/>
      <c r="F52" s="15" t="n"/>
      <c r="G52" s="12">
        <f>IF(A52="","",MONTH(A52))</f>
        <v/>
      </c>
    </row>
    <row r="53">
      <c r="A53" s="18" t="n"/>
      <c r="B53" s="15" t="n"/>
      <c r="C53" s="15" t="n"/>
      <c r="D53" s="17" t="n"/>
      <c r="E53" s="15" t="n"/>
      <c r="F53" s="15" t="n"/>
      <c r="G53" s="12">
        <f>IF(A53="","",MONTH(A53))</f>
        <v/>
      </c>
    </row>
    <row r="54">
      <c r="A54" s="18" t="n"/>
      <c r="B54" s="15" t="n"/>
      <c r="C54" s="15" t="n"/>
      <c r="D54" s="17" t="n"/>
      <c r="E54" s="15" t="n"/>
      <c r="F54" s="15" t="n"/>
      <c r="G54" s="12">
        <f>IF(A54="","",MONTH(A54))</f>
        <v/>
      </c>
    </row>
    <row r="55">
      <c r="A55" s="18" t="n"/>
      <c r="B55" s="15" t="n"/>
      <c r="C55" s="15" t="n"/>
      <c r="D55" s="17" t="n"/>
      <c r="E55" s="15" t="n"/>
      <c r="F55" s="15" t="n"/>
      <c r="G55" s="12">
        <f>IF(A55="","",MONTH(A55))</f>
        <v/>
      </c>
    </row>
    <row r="56">
      <c r="A56" s="18" t="n"/>
      <c r="B56" s="15" t="n"/>
      <c r="C56" s="15" t="n"/>
      <c r="D56" s="17" t="n"/>
      <c r="E56" s="15" t="n"/>
      <c r="F56" s="15" t="n"/>
      <c r="G56" s="12">
        <f>IF(A56="","",MONTH(A56))</f>
        <v/>
      </c>
    </row>
    <row r="57">
      <c r="A57" s="18" t="n"/>
      <c r="B57" s="15" t="n"/>
      <c r="C57" s="15" t="n"/>
      <c r="D57" s="17" t="n"/>
      <c r="E57" s="15" t="n"/>
      <c r="F57" s="15" t="n"/>
      <c r="G57" s="12">
        <f>IF(A57="","",MONTH(A57))</f>
        <v/>
      </c>
    </row>
    <row r="58">
      <c r="A58" s="18" t="n"/>
      <c r="B58" s="15" t="n"/>
      <c r="C58" s="15" t="n"/>
      <c r="D58" s="17" t="n"/>
      <c r="E58" s="15" t="n"/>
      <c r="F58" s="15" t="n"/>
      <c r="G58" s="12">
        <f>IF(A58="","",MONTH(A58))</f>
        <v/>
      </c>
    </row>
    <row r="59">
      <c r="A59" s="18" t="n"/>
      <c r="B59" s="15" t="n"/>
      <c r="C59" s="15" t="n"/>
      <c r="D59" s="17" t="n"/>
      <c r="E59" s="15" t="n"/>
      <c r="F59" s="15" t="n"/>
      <c r="G59" s="12">
        <f>IF(A59="","",MONTH(A59))</f>
        <v/>
      </c>
    </row>
    <row r="60">
      <c r="A60" s="18" t="n"/>
      <c r="B60" s="15" t="n"/>
      <c r="C60" s="15" t="n"/>
      <c r="D60" s="17" t="n"/>
      <c r="E60" s="15" t="n"/>
      <c r="F60" s="15" t="n"/>
      <c r="G60" s="12">
        <f>IF(A60="","",MONTH(A60))</f>
        <v/>
      </c>
    </row>
    <row r="61">
      <c r="A61" s="18" t="n"/>
      <c r="B61" s="15" t="n"/>
      <c r="C61" s="15" t="n"/>
      <c r="D61" s="17" t="n"/>
      <c r="E61" s="15" t="n"/>
      <c r="F61" s="15" t="n"/>
      <c r="G61" s="12">
        <f>IF(A61="","",MONTH(A61))</f>
        <v/>
      </c>
    </row>
    <row r="62">
      <c r="A62" s="18" t="n"/>
      <c r="B62" s="15" t="n"/>
      <c r="C62" s="15" t="n"/>
      <c r="D62" s="17" t="n"/>
      <c r="E62" s="15" t="n"/>
      <c r="F62" s="15" t="n"/>
      <c r="G62" s="12">
        <f>IF(A62="","",MONTH(A62))</f>
        <v/>
      </c>
    </row>
    <row r="63">
      <c r="A63" s="18" t="n"/>
      <c r="B63" s="15" t="n"/>
      <c r="C63" s="15" t="n"/>
      <c r="D63" s="17" t="n"/>
      <c r="E63" s="15" t="n"/>
      <c r="F63" s="15" t="n"/>
      <c r="G63" s="12">
        <f>IF(A63="","",MONTH(A63))</f>
        <v/>
      </c>
    </row>
    <row r="64">
      <c r="A64" s="18" t="n"/>
      <c r="B64" s="15" t="n"/>
      <c r="C64" s="15" t="n"/>
      <c r="D64" s="17" t="n"/>
      <c r="E64" s="15" t="n"/>
      <c r="F64" s="15" t="n"/>
      <c r="G64" s="12">
        <f>IF(A64="","",MONTH(A64))</f>
        <v/>
      </c>
    </row>
    <row r="65">
      <c r="A65" s="18" t="n"/>
      <c r="B65" s="15" t="n"/>
      <c r="C65" s="15" t="n"/>
      <c r="D65" s="17" t="n"/>
      <c r="E65" s="15" t="n"/>
      <c r="F65" s="15" t="n"/>
      <c r="G65" s="12">
        <f>IF(A65="","",MONTH(A65))</f>
        <v/>
      </c>
    </row>
    <row r="66">
      <c r="A66" s="18" t="n"/>
      <c r="B66" s="15" t="n"/>
      <c r="C66" s="15" t="n"/>
      <c r="D66" s="17" t="n"/>
      <c r="E66" s="15" t="n"/>
      <c r="F66" s="15" t="n"/>
      <c r="G66" s="12">
        <f>IF(A66="","",MONTH(A66))</f>
        <v/>
      </c>
    </row>
    <row r="67">
      <c r="A67" s="18" t="n"/>
      <c r="B67" s="15" t="n"/>
      <c r="C67" s="15" t="n"/>
      <c r="D67" s="17" t="n"/>
      <c r="E67" s="15" t="n"/>
      <c r="F67" s="15" t="n"/>
      <c r="G67" s="12">
        <f>IF(A67="","",MONTH(A67))</f>
        <v/>
      </c>
    </row>
    <row r="68">
      <c r="A68" s="18" t="n"/>
      <c r="B68" s="15" t="n"/>
      <c r="C68" s="15" t="n"/>
      <c r="D68" s="17" t="n"/>
      <c r="E68" s="15" t="n"/>
      <c r="F68" s="15" t="n"/>
      <c r="G68" s="12">
        <f>IF(A68="","",MONTH(A68))</f>
        <v/>
      </c>
    </row>
    <row r="69">
      <c r="A69" s="18" t="n"/>
      <c r="B69" s="15" t="n"/>
      <c r="C69" s="15" t="n"/>
      <c r="D69" s="17" t="n"/>
      <c r="E69" s="15" t="n"/>
      <c r="F69" s="15" t="n"/>
      <c r="G69" s="12">
        <f>IF(A69="","",MONTH(A69))</f>
        <v/>
      </c>
    </row>
    <row r="70">
      <c r="A70" s="18" t="n"/>
      <c r="B70" s="15" t="n"/>
      <c r="C70" s="15" t="n"/>
      <c r="D70" s="17" t="n"/>
      <c r="E70" s="15" t="n"/>
      <c r="F70" s="15" t="n"/>
      <c r="G70" s="12">
        <f>IF(A70="","",MONTH(A70))</f>
        <v/>
      </c>
    </row>
    <row r="71">
      <c r="A71" s="18" t="n"/>
      <c r="B71" s="15" t="n"/>
      <c r="C71" s="15" t="n"/>
      <c r="D71" s="17" t="n"/>
      <c r="E71" s="15" t="n"/>
      <c r="F71" s="15" t="n"/>
      <c r="G71" s="12">
        <f>IF(A71="","",MONTH(A71))</f>
        <v/>
      </c>
    </row>
    <row r="72">
      <c r="A72" s="18" t="n"/>
      <c r="B72" s="15" t="n"/>
      <c r="C72" s="15" t="n"/>
      <c r="D72" s="17" t="n"/>
      <c r="E72" s="15" t="n"/>
      <c r="F72" s="15" t="n"/>
      <c r="G72" s="12">
        <f>IF(A72="","",MONTH(A72))</f>
        <v/>
      </c>
    </row>
    <row r="73">
      <c r="A73" s="18" t="n"/>
      <c r="B73" s="15" t="n"/>
      <c r="C73" s="15" t="n"/>
      <c r="D73" s="17" t="n"/>
      <c r="E73" s="15" t="n"/>
      <c r="F73" s="15" t="n"/>
      <c r="G73" s="12">
        <f>IF(A73="","",MONTH(A73))</f>
        <v/>
      </c>
    </row>
    <row r="74">
      <c r="A74" s="18" t="n"/>
      <c r="B74" s="15" t="n"/>
      <c r="C74" s="15" t="n"/>
      <c r="D74" s="17" t="n"/>
      <c r="E74" s="15" t="n"/>
      <c r="F74" s="15" t="n"/>
      <c r="G74" s="12">
        <f>IF(A74="","",MONTH(A74))</f>
        <v/>
      </c>
    </row>
    <row r="75">
      <c r="A75" s="18" t="n"/>
      <c r="B75" s="15" t="n"/>
      <c r="C75" s="15" t="n"/>
      <c r="D75" s="17" t="n"/>
      <c r="E75" s="15" t="n"/>
      <c r="F75" s="15" t="n"/>
      <c r="G75" s="12">
        <f>IF(A75="","",MONTH(A75))</f>
        <v/>
      </c>
    </row>
    <row r="76">
      <c r="A76" s="18" t="n"/>
      <c r="B76" s="15" t="n"/>
      <c r="C76" s="15" t="n"/>
      <c r="D76" s="17" t="n"/>
      <c r="E76" s="15" t="n"/>
      <c r="F76" s="15" t="n"/>
      <c r="G76" s="12">
        <f>IF(A76="","",MONTH(A76))</f>
        <v/>
      </c>
    </row>
    <row r="77">
      <c r="A77" s="18" t="n"/>
      <c r="B77" s="15" t="n"/>
      <c r="C77" s="15" t="n"/>
      <c r="D77" s="17" t="n"/>
      <c r="E77" s="15" t="n"/>
      <c r="F77" s="15" t="n"/>
      <c r="G77" s="12">
        <f>IF(A77="","",MONTH(A77))</f>
        <v/>
      </c>
    </row>
    <row r="78">
      <c r="A78" s="18" t="n"/>
      <c r="B78" s="15" t="n"/>
      <c r="C78" s="15" t="n"/>
      <c r="D78" s="17" t="n"/>
      <c r="E78" s="15" t="n"/>
      <c r="F78" s="15" t="n"/>
      <c r="G78" s="12">
        <f>IF(A78="","",MONTH(A78))</f>
        <v/>
      </c>
    </row>
    <row r="79">
      <c r="A79" s="18" t="n"/>
      <c r="B79" s="15" t="n"/>
      <c r="C79" s="15" t="n"/>
      <c r="D79" s="17" t="n"/>
      <c r="E79" s="15" t="n"/>
      <c r="F79" s="15" t="n"/>
      <c r="G79" s="12">
        <f>IF(A79="","",MONTH(A79))</f>
        <v/>
      </c>
    </row>
    <row r="80">
      <c r="A80" s="18" t="n"/>
      <c r="B80" s="15" t="n"/>
      <c r="C80" s="15" t="n"/>
      <c r="D80" s="17" t="n"/>
      <c r="E80" s="15" t="n"/>
      <c r="F80" s="15" t="n"/>
      <c r="G80" s="12">
        <f>IF(A80="","",MONTH(A80))</f>
        <v/>
      </c>
    </row>
    <row r="81">
      <c r="A81" s="18" t="n"/>
      <c r="B81" s="15" t="n"/>
      <c r="C81" s="15" t="n"/>
      <c r="D81" s="17" t="n"/>
      <c r="E81" s="15" t="n"/>
      <c r="F81" s="15" t="n"/>
      <c r="G81" s="12">
        <f>IF(A81="","",MONTH(A81))</f>
        <v/>
      </c>
    </row>
    <row r="82">
      <c r="A82" s="18" t="n"/>
      <c r="B82" s="15" t="n"/>
      <c r="C82" s="15" t="n"/>
      <c r="D82" s="17" t="n"/>
      <c r="E82" s="15" t="n"/>
      <c r="F82" s="15" t="n"/>
      <c r="G82" s="12">
        <f>IF(A82="","",MONTH(A82))</f>
        <v/>
      </c>
    </row>
    <row r="83">
      <c r="A83" s="18" t="n"/>
      <c r="B83" s="15" t="n"/>
      <c r="C83" s="15" t="n"/>
      <c r="D83" s="17" t="n"/>
      <c r="E83" s="15" t="n"/>
      <c r="F83" s="15" t="n"/>
      <c r="G83" s="12">
        <f>IF(A83="","",MONTH(A83))</f>
        <v/>
      </c>
    </row>
    <row r="84">
      <c r="A84" s="18" t="n"/>
      <c r="B84" s="15" t="n"/>
      <c r="C84" s="15" t="n"/>
      <c r="D84" s="17" t="n"/>
      <c r="E84" s="15" t="n"/>
      <c r="F84" s="15" t="n"/>
      <c r="G84" s="12">
        <f>IF(A84="","",MONTH(A84))</f>
        <v/>
      </c>
    </row>
    <row r="85">
      <c r="A85" s="18" t="n"/>
      <c r="B85" s="15" t="n"/>
      <c r="C85" s="15" t="n"/>
      <c r="D85" s="17" t="n"/>
      <c r="E85" s="15" t="n"/>
      <c r="F85" s="15" t="n"/>
      <c r="G85" s="12">
        <f>IF(A85="","",MONTH(A85))</f>
        <v/>
      </c>
    </row>
    <row r="86">
      <c r="A86" s="18" t="n"/>
      <c r="B86" s="15" t="n"/>
      <c r="C86" s="15" t="n"/>
      <c r="D86" s="17" t="n"/>
      <c r="E86" s="15" t="n"/>
      <c r="F86" s="15" t="n"/>
      <c r="G86" s="12">
        <f>IF(A86="","",MONTH(A86))</f>
        <v/>
      </c>
    </row>
    <row r="87">
      <c r="A87" s="18" t="n"/>
      <c r="B87" s="15" t="n"/>
      <c r="C87" s="15" t="n"/>
      <c r="D87" s="17" t="n"/>
      <c r="E87" s="15" t="n"/>
      <c r="F87" s="15" t="n"/>
      <c r="G87" s="12">
        <f>IF(A87="","",MONTH(A87))</f>
        <v/>
      </c>
    </row>
    <row r="88">
      <c r="A88" s="18" t="n"/>
      <c r="B88" s="15" t="n"/>
      <c r="C88" s="15" t="n"/>
      <c r="D88" s="17" t="n"/>
      <c r="E88" s="15" t="n"/>
      <c r="F88" s="15" t="n"/>
      <c r="G88" s="12">
        <f>IF(A88="","",MONTH(A88))</f>
        <v/>
      </c>
    </row>
    <row r="89">
      <c r="A89" s="18" t="n"/>
      <c r="B89" s="15" t="n"/>
      <c r="C89" s="15" t="n"/>
      <c r="D89" s="17" t="n"/>
      <c r="E89" s="15" t="n"/>
      <c r="F89" s="15" t="n"/>
      <c r="G89" s="12">
        <f>IF(A89="","",MONTH(A89))</f>
        <v/>
      </c>
    </row>
    <row r="90">
      <c r="A90" s="18" t="n"/>
      <c r="B90" s="15" t="n"/>
      <c r="C90" s="15" t="n"/>
      <c r="D90" s="17" t="n"/>
      <c r="E90" s="15" t="n"/>
      <c r="F90" s="15" t="n"/>
      <c r="G90" s="12">
        <f>IF(A90="","",MONTH(A90))</f>
        <v/>
      </c>
    </row>
    <row r="91">
      <c r="A91" s="18" t="n"/>
      <c r="B91" s="15" t="n"/>
      <c r="C91" s="15" t="n"/>
      <c r="D91" s="17" t="n"/>
      <c r="E91" s="15" t="n"/>
      <c r="F91" s="15" t="n"/>
      <c r="G91" s="12">
        <f>IF(A91="","",MONTH(A91))</f>
        <v/>
      </c>
    </row>
    <row r="92">
      <c r="A92" s="18" t="n"/>
      <c r="B92" s="15" t="n"/>
      <c r="C92" s="15" t="n"/>
      <c r="D92" s="17" t="n"/>
      <c r="E92" s="15" t="n"/>
      <c r="F92" s="15" t="n"/>
      <c r="G92" s="12">
        <f>IF(A92="","",MONTH(A92))</f>
        <v/>
      </c>
    </row>
    <row r="93">
      <c r="A93" s="18" t="n"/>
      <c r="B93" s="15" t="n"/>
      <c r="C93" s="15" t="n"/>
      <c r="D93" s="17" t="n"/>
      <c r="E93" s="15" t="n"/>
      <c r="F93" s="15" t="n"/>
      <c r="G93" s="12">
        <f>IF(A93="","",MONTH(A93))</f>
        <v/>
      </c>
    </row>
    <row r="94">
      <c r="A94" s="18" t="n"/>
      <c r="B94" s="15" t="n"/>
      <c r="C94" s="15" t="n"/>
      <c r="D94" s="17" t="n"/>
      <c r="E94" s="15" t="n"/>
      <c r="F94" s="15" t="n"/>
      <c r="G94" s="12">
        <f>IF(A94="","",MONTH(A94))</f>
        <v/>
      </c>
    </row>
    <row r="95">
      <c r="A95" s="18" t="n"/>
      <c r="B95" s="15" t="n"/>
      <c r="C95" s="15" t="n"/>
      <c r="D95" s="17" t="n"/>
      <c r="E95" s="15" t="n"/>
      <c r="F95" s="15" t="n"/>
      <c r="G95" s="12">
        <f>IF(A95="","",MONTH(A95))</f>
        <v/>
      </c>
    </row>
    <row r="96">
      <c r="A96" s="18" t="n"/>
      <c r="B96" s="15" t="n"/>
      <c r="C96" s="15" t="n"/>
      <c r="D96" s="17" t="n"/>
      <c r="E96" s="15" t="n"/>
      <c r="F96" s="15" t="n"/>
      <c r="G96" s="12">
        <f>IF(A96="","",MONTH(A96))</f>
        <v/>
      </c>
    </row>
    <row r="97">
      <c r="A97" s="18" t="n"/>
      <c r="B97" s="15" t="n"/>
      <c r="C97" s="15" t="n"/>
      <c r="D97" s="17" t="n"/>
      <c r="E97" s="15" t="n"/>
      <c r="F97" s="15" t="n"/>
      <c r="G97" s="12">
        <f>IF(A97="","",MONTH(A97))</f>
        <v/>
      </c>
    </row>
    <row r="98">
      <c r="A98" s="18" t="n"/>
      <c r="B98" s="15" t="n"/>
      <c r="C98" s="15" t="n"/>
      <c r="D98" s="17" t="n"/>
      <c r="E98" s="15" t="n"/>
      <c r="F98" s="15" t="n"/>
      <c r="G98" s="12">
        <f>IF(A98="","",MONTH(A98))</f>
        <v/>
      </c>
    </row>
    <row r="99">
      <c r="A99" s="18" t="n"/>
      <c r="B99" s="15" t="n"/>
      <c r="C99" s="15" t="n"/>
      <c r="D99" s="17" t="n"/>
      <c r="E99" s="15" t="n"/>
      <c r="F99" s="15" t="n"/>
      <c r="G99" s="12">
        <f>IF(A99="","",MONTH(A99))</f>
        <v/>
      </c>
    </row>
    <row r="100">
      <c r="A100" s="18" t="n"/>
      <c r="B100" s="15" t="n"/>
      <c r="C100" s="15" t="n"/>
      <c r="D100" s="17" t="n"/>
      <c r="E100" s="15" t="n"/>
      <c r="F100" s="15" t="n"/>
      <c r="G100" s="12">
        <f>IF(A100="","",MONTH(A100))</f>
        <v/>
      </c>
    </row>
    <row r="101">
      <c r="A101" s="18" t="n"/>
      <c r="B101" s="15" t="n"/>
      <c r="C101" s="15" t="n"/>
      <c r="D101" s="17" t="n"/>
      <c r="E101" s="15" t="n"/>
      <c r="F101" s="15" t="n"/>
      <c r="G101" s="12">
        <f>IF(A101="","",MONTH(A101))</f>
        <v/>
      </c>
    </row>
    <row r="102">
      <c r="A102" s="18" t="n"/>
      <c r="B102" s="15" t="n"/>
      <c r="C102" s="15" t="n"/>
      <c r="D102" s="17" t="n"/>
      <c r="E102" s="15" t="n"/>
      <c r="F102" s="15" t="n"/>
      <c r="G102" s="12">
        <f>IF(A102="","",MONTH(A102))</f>
        <v/>
      </c>
    </row>
    <row r="103">
      <c r="A103" s="18" t="n"/>
      <c r="B103" s="15" t="n"/>
      <c r="C103" s="15" t="n"/>
      <c r="D103" s="17" t="n"/>
      <c r="E103" s="15" t="n"/>
      <c r="F103" s="15" t="n"/>
      <c r="G103" s="12">
        <f>IF(A103="","",MONTH(A103))</f>
        <v/>
      </c>
    </row>
    <row r="104">
      <c r="A104" s="18" t="n"/>
      <c r="B104" s="15" t="n"/>
      <c r="C104" s="15" t="n"/>
      <c r="D104" s="17" t="n"/>
      <c r="E104" s="15" t="n"/>
      <c r="F104" s="15" t="n"/>
      <c r="G104" s="12">
        <f>IF(A104="","",MONTH(A104))</f>
        <v/>
      </c>
    </row>
    <row r="105">
      <c r="A105" s="18" t="n"/>
      <c r="B105" s="15" t="n"/>
      <c r="C105" s="15" t="n"/>
      <c r="D105" s="17" t="n"/>
      <c r="E105" s="15" t="n"/>
      <c r="F105" s="15" t="n"/>
      <c r="G105" s="12">
        <f>IF(A105="","",MONTH(A105))</f>
        <v/>
      </c>
    </row>
    <row r="106">
      <c r="A106" s="18" t="n"/>
      <c r="B106" s="15" t="n"/>
      <c r="C106" s="15" t="n"/>
      <c r="D106" s="17" t="n"/>
      <c r="E106" s="15" t="n"/>
      <c r="F106" s="15" t="n"/>
      <c r="G106" s="12">
        <f>IF(A106="","",MONTH(A106))</f>
        <v/>
      </c>
    </row>
    <row r="107">
      <c r="A107" s="18" t="n"/>
      <c r="B107" s="15" t="n"/>
      <c r="C107" s="15" t="n"/>
      <c r="D107" s="17" t="n"/>
      <c r="E107" s="15" t="n"/>
      <c r="F107" s="15" t="n"/>
      <c r="G107" s="12">
        <f>IF(A107="","",MONTH(A107))</f>
        <v/>
      </c>
    </row>
    <row r="108">
      <c r="A108" s="18" t="n"/>
      <c r="B108" s="15" t="n"/>
      <c r="C108" s="15" t="n"/>
      <c r="D108" s="17" t="n"/>
      <c r="E108" s="15" t="n"/>
      <c r="F108" s="15" t="n"/>
      <c r="G108" s="12">
        <f>IF(A108="","",MONTH(A108))</f>
        <v/>
      </c>
    </row>
    <row r="109">
      <c r="A109" s="18" t="n"/>
      <c r="B109" s="15" t="n"/>
      <c r="C109" s="15" t="n"/>
      <c r="D109" s="17" t="n"/>
      <c r="E109" s="15" t="n"/>
      <c r="F109" s="15" t="n"/>
      <c r="G109" s="12">
        <f>IF(A109="","",MONTH(A109))</f>
        <v/>
      </c>
    </row>
    <row r="110">
      <c r="A110" s="18" t="n"/>
      <c r="B110" s="15" t="n"/>
      <c r="C110" s="15" t="n"/>
      <c r="D110" s="17" t="n"/>
      <c r="E110" s="15" t="n"/>
      <c r="F110" s="15" t="n"/>
      <c r="G110" s="12">
        <f>IF(A110="","",MONTH(A110))</f>
        <v/>
      </c>
    </row>
    <row r="111">
      <c r="A111" s="18" t="n"/>
      <c r="B111" s="15" t="n"/>
      <c r="C111" s="15" t="n"/>
      <c r="D111" s="17" t="n"/>
      <c r="E111" s="15" t="n"/>
      <c r="F111" s="15" t="n"/>
      <c r="G111" s="12">
        <f>IF(A111="","",MONTH(A111))</f>
        <v/>
      </c>
    </row>
    <row r="112">
      <c r="A112" s="18" t="n"/>
      <c r="B112" s="15" t="n"/>
      <c r="C112" s="15" t="n"/>
      <c r="D112" s="17" t="n"/>
      <c r="E112" s="15" t="n"/>
      <c r="F112" s="15" t="n"/>
      <c r="G112" s="12">
        <f>IF(A112="","",MONTH(A112))</f>
        <v/>
      </c>
    </row>
    <row r="113">
      <c r="A113" s="18" t="n"/>
      <c r="B113" s="15" t="n"/>
      <c r="C113" s="15" t="n"/>
      <c r="D113" s="17" t="n"/>
      <c r="E113" s="15" t="n"/>
      <c r="F113" s="15" t="n"/>
      <c r="G113" s="12">
        <f>IF(A113="","",MONTH(A113))</f>
        <v/>
      </c>
    </row>
    <row r="114">
      <c r="A114" s="18" t="n"/>
      <c r="B114" s="15" t="n"/>
      <c r="C114" s="15" t="n"/>
      <c r="D114" s="17" t="n"/>
      <c r="E114" s="15" t="n"/>
      <c r="F114" s="15" t="n"/>
      <c r="G114" s="12">
        <f>IF(A114="","",MONTH(A114))</f>
        <v/>
      </c>
    </row>
    <row r="115">
      <c r="A115" s="18" t="n"/>
      <c r="B115" s="15" t="n"/>
      <c r="C115" s="15" t="n"/>
      <c r="D115" s="17" t="n"/>
      <c r="E115" s="15" t="n"/>
      <c r="F115" s="15" t="n"/>
      <c r="G115" s="12">
        <f>IF(A115="","",MONTH(A115))</f>
        <v/>
      </c>
    </row>
    <row r="116">
      <c r="A116" s="18" t="n"/>
      <c r="B116" s="15" t="n"/>
      <c r="C116" s="15" t="n"/>
      <c r="D116" s="17" t="n"/>
      <c r="E116" s="15" t="n"/>
      <c r="F116" s="15" t="n"/>
      <c r="G116" s="12">
        <f>IF(A116="","",MONTH(A116))</f>
        <v/>
      </c>
    </row>
    <row r="117">
      <c r="A117" s="18" t="n"/>
      <c r="B117" s="15" t="n"/>
      <c r="C117" s="15" t="n"/>
      <c r="D117" s="17" t="n"/>
      <c r="E117" s="15" t="n"/>
      <c r="F117" s="15" t="n"/>
      <c r="G117" s="12">
        <f>IF(A117="","",MONTH(A117))</f>
        <v/>
      </c>
    </row>
    <row r="118">
      <c r="A118" s="18" t="n"/>
      <c r="B118" s="15" t="n"/>
      <c r="C118" s="15" t="n"/>
      <c r="D118" s="17" t="n"/>
      <c r="E118" s="15" t="n"/>
      <c r="F118" s="15" t="n"/>
      <c r="G118" s="12">
        <f>IF(A118="","",MONTH(A118))</f>
        <v/>
      </c>
    </row>
    <row r="119">
      <c r="A119" s="18" t="n"/>
      <c r="B119" s="15" t="n"/>
      <c r="C119" s="15" t="n"/>
      <c r="D119" s="17" t="n"/>
      <c r="E119" s="15" t="n"/>
      <c r="F119" s="15" t="n"/>
      <c r="G119" s="12">
        <f>IF(A119="","",MONTH(A119))</f>
        <v/>
      </c>
    </row>
    <row r="120">
      <c r="A120" s="18" t="n"/>
      <c r="B120" s="15" t="n"/>
      <c r="C120" s="15" t="n"/>
      <c r="D120" s="17" t="n"/>
      <c r="E120" s="15" t="n"/>
      <c r="F120" s="15" t="n"/>
      <c r="G120" s="12">
        <f>IF(A120="","",MONTH(A120))</f>
        <v/>
      </c>
    </row>
    <row r="121">
      <c r="A121" s="18" t="n"/>
      <c r="B121" s="15" t="n"/>
      <c r="C121" s="15" t="n"/>
      <c r="D121" s="17" t="n"/>
      <c r="E121" s="15" t="n"/>
      <c r="F121" s="15" t="n"/>
      <c r="G121" s="12">
        <f>IF(A121="","",MONTH(A121))</f>
        <v/>
      </c>
    </row>
    <row r="122">
      <c r="A122" s="18" t="n"/>
      <c r="B122" s="15" t="n"/>
      <c r="C122" s="15" t="n"/>
      <c r="D122" s="17" t="n"/>
      <c r="E122" s="15" t="n"/>
      <c r="F122" s="15" t="n"/>
      <c r="G122" s="12">
        <f>IF(A122="","",MONTH(A122))</f>
        <v/>
      </c>
    </row>
    <row r="123">
      <c r="A123" s="18" t="n"/>
      <c r="B123" s="15" t="n"/>
      <c r="C123" s="15" t="n"/>
      <c r="D123" s="17" t="n"/>
      <c r="E123" s="15" t="n"/>
      <c r="F123" s="15" t="n"/>
      <c r="G123" s="12">
        <f>IF(A123="","",MONTH(A123))</f>
        <v/>
      </c>
    </row>
    <row r="124">
      <c r="A124" s="18" t="n"/>
      <c r="B124" s="15" t="n"/>
      <c r="C124" s="15" t="n"/>
      <c r="D124" s="17" t="n"/>
      <c r="E124" s="15" t="n"/>
      <c r="F124" s="15" t="n"/>
      <c r="G124" s="12">
        <f>IF(A124="","",MONTH(A124))</f>
        <v/>
      </c>
    </row>
    <row r="125">
      <c r="A125" s="18" t="n"/>
      <c r="B125" s="15" t="n"/>
      <c r="C125" s="15" t="n"/>
      <c r="D125" s="17" t="n"/>
      <c r="E125" s="15" t="n"/>
      <c r="F125" s="15" t="n"/>
      <c r="G125" s="12">
        <f>IF(A125="","",MONTH(A125))</f>
        <v/>
      </c>
    </row>
    <row r="126">
      <c r="A126" s="18" t="n"/>
      <c r="B126" s="15" t="n"/>
      <c r="C126" s="15" t="n"/>
      <c r="D126" s="17" t="n"/>
      <c r="E126" s="15" t="n"/>
      <c r="F126" s="15" t="n"/>
      <c r="G126" s="12">
        <f>IF(A126="","",MONTH(A126))</f>
        <v/>
      </c>
    </row>
    <row r="127">
      <c r="A127" s="18" t="n"/>
      <c r="B127" s="15" t="n"/>
      <c r="C127" s="15" t="n"/>
      <c r="D127" s="17" t="n"/>
      <c r="E127" s="15" t="n"/>
      <c r="F127" s="15" t="n"/>
      <c r="G127" s="12">
        <f>IF(A127="","",MONTH(A127))</f>
        <v/>
      </c>
    </row>
    <row r="128">
      <c r="A128" s="18" t="n"/>
      <c r="B128" s="15" t="n"/>
      <c r="C128" s="15" t="n"/>
      <c r="D128" s="17" t="n"/>
      <c r="E128" s="15" t="n"/>
      <c r="F128" s="15" t="n"/>
      <c r="G128" s="12">
        <f>IF(A128="","",MONTH(A128))</f>
        <v/>
      </c>
    </row>
    <row r="129">
      <c r="A129" s="18" t="n"/>
      <c r="B129" s="15" t="n"/>
      <c r="C129" s="15" t="n"/>
      <c r="D129" s="17" t="n"/>
      <c r="E129" s="15" t="n"/>
      <c r="F129" s="15" t="n"/>
      <c r="G129" s="12">
        <f>IF(A129="","",MONTH(A129))</f>
        <v/>
      </c>
    </row>
    <row r="130">
      <c r="A130" s="18" t="n"/>
      <c r="B130" s="15" t="n"/>
      <c r="C130" s="15" t="n"/>
      <c r="D130" s="17" t="n"/>
      <c r="E130" s="15" t="n"/>
      <c r="F130" s="15" t="n"/>
      <c r="G130" s="12">
        <f>IF(A130="","",MONTH(A130))</f>
        <v/>
      </c>
    </row>
    <row r="131">
      <c r="A131" s="18" t="n"/>
      <c r="B131" s="15" t="n"/>
      <c r="C131" s="15" t="n"/>
      <c r="D131" s="17" t="n"/>
      <c r="E131" s="15" t="n"/>
      <c r="F131" s="15" t="n"/>
      <c r="G131" s="12">
        <f>IF(A131="","",MONTH(A131))</f>
        <v/>
      </c>
    </row>
    <row r="132">
      <c r="A132" s="18" t="n"/>
      <c r="B132" s="15" t="n"/>
      <c r="C132" s="15" t="n"/>
      <c r="D132" s="17" t="n"/>
      <c r="E132" s="15" t="n"/>
      <c r="F132" s="15" t="n"/>
      <c r="G132" s="12">
        <f>IF(A132="","",MONTH(A132))</f>
        <v/>
      </c>
    </row>
    <row r="133">
      <c r="A133" s="18" t="n"/>
      <c r="B133" s="15" t="n"/>
      <c r="C133" s="15" t="n"/>
      <c r="D133" s="17" t="n"/>
      <c r="E133" s="15" t="n"/>
      <c r="F133" s="15" t="n"/>
      <c r="G133" s="12">
        <f>IF(A133="","",MONTH(A133))</f>
        <v/>
      </c>
    </row>
    <row r="134">
      <c r="A134" s="18" t="n"/>
      <c r="B134" s="15" t="n"/>
      <c r="C134" s="15" t="n"/>
      <c r="D134" s="17" t="n"/>
      <c r="E134" s="15" t="n"/>
      <c r="F134" s="15" t="n"/>
      <c r="G134" s="12">
        <f>IF(A134="","",MONTH(A134))</f>
        <v/>
      </c>
    </row>
    <row r="135">
      <c r="A135" s="18" t="n"/>
      <c r="B135" s="15" t="n"/>
      <c r="C135" s="15" t="n"/>
      <c r="D135" s="17" t="n"/>
      <c r="E135" s="15" t="n"/>
      <c r="F135" s="15" t="n"/>
      <c r="G135" s="12">
        <f>IF(A135="","",MONTH(A135))</f>
        <v/>
      </c>
    </row>
    <row r="136">
      <c r="A136" s="18" t="n"/>
      <c r="B136" s="15" t="n"/>
      <c r="C136" s="15" t="n"/>
      <c r="D136" s="17" t="n"/>
      <c r="E136" s="15" t="n"/>
      <c r="F136" s="15" t="n"/>
      <c r="G136" s="12">
        <f>IF(A136="","",MONTH(A136))</f>
        <v/>
      </c>
    </row>
    <row r="137">
      <c r="A137" s="18" t="n"/>
      <c r="B137" s="15" t="n"/>
      <c r="C137" s="15" t="n"/>
      <c r="D137" s="17" t="n"/>
      <c r="E137" s="15" t="n"/>
      <c r="F137" s="15" t="n"/>
      <c r="G137" s="12">
        <f>IF(A137="","",MONTH(A137))</f>
        <v/>
      </c>
    </row>
    <row r="138">
      <c r="A138" s="18" t="n"/>
      <c r="B138" s="15" t="n"/>
      <c r="C138" s="15" t="n"/>
      <c r="D138" s="17" t="n"/>
      <c r="E138" s="15" t="n"/>
      <c r="F138" s="15" t="n"/>
      <c r="G138" s="12">
        <f>IF(A138="","",MONTH(A138))</f>
        <v/>
      </c>
    </row>
    <row r="139">
      <c r="A139" s="18" t="n"/>
      <c r="B139" s="15" t="n"/>
      <c r="C139" s="15" t="n"/>
      <c r="D139" s="17" t="n"/>
      <c r="E139" s="15" t="n"/>
      <c r="F139" s="15" t="n"/>
      <c r="G139" s="12">
        <f>IF(A139="","",MONTH(A139))</f>
        <v/>
      </c>
    </row>
    <row r="140">
      <c r="A140" s="18" t="n"/>
      <c r="B140" s="15" t="n"/>
      <c r="C140" s="15" t="n"/>
      <c r="D140" s="17" t="n"/>
      <c r="E140" s="15" t="n"/>
      <c r="F140" s="15" t="n"/>
      <c r="G140" s="12">
        <f>IF(A140="","",MONTH(A140))</f>
        <v/>
      </c>
    </row>
    <row r="141">
      <c r="A141" s="18" t="n"/>
      <c r="B141" s="15" t="n"/>
      <c r="C141" s="15" t="n"/>
      <c r="D141" s="17" t="n"/>
      <c r="E141" s="15" t="n"/>
      <c r="F141" s="15" t="n"/>
      <c r="G141" s="12">
        <f>IF(A141="","",MONTH(A141))</f>
        <v/>
      </c>
    </row>
    <row r="142">
      <c r="A142" s="18" t="n"/>
      <c r="B142" s="15" t="n"/>
      <c r="C142" s="15" t="n"/>
      <c r="D142" s="17" t="n"/>
      <c r="E142" s="15" t="n"/>
      <c r="F142" s="15" t="n"/>
      <c r="G142" s="12">
        <f>IF(A142="","",MONTH(A142))</f>
        <v/>
      </c>
    </row>
    <row r="143">
      <c r="A143" s="18" t="n"/>
      <c r="B143" s="15" t="n"/>
      <c r="C143" s="15" t="n"/>
      <c r="D143" s="17" t="n"/>
      <c r="E143" s="15" t="n"/>
      <c r="F143" s="15" t="n"/>
      <c r="G143" s="12">
        <f>IF(A143="","",MONTH(A143))</f>
        <v/>
      </c>
    </row>
    <row r="144">
      <c r="A144" s="18" t="n"/>
      <c r="B144" s="15" t="n"/>
      <c r="C144" s="15" t="n"/>
      <c r="D144" s="17" t="n"/>
      <c r="E144" s="15" t="n"/>
      <c r="F144" s="15" t="n"/>
      <c r="G144" s="12">
        <f>IF(A144="","",MONTH(A144))</f>
        <v/>
      </c>
    </row>
    <row r="145">
      <c r="A145" s="18" t="n"/>
      <c r="B145" s="15" t="n"/>
      <c r="C145" s="15" t="n"/>
      <c r="D145" s="17" t="n"/>
      <c r="E145" s="15" t="n"/>
      <c r="F145" s="15" t="n"/>
      <c r="G145" s="12">
        <f>IF(A145="","",MONTH(A145))</f>
        <v/>
      </c>
    </row>
    <row r="146">
      <c r="A146" s="18" t="n"/>
      <c r="B146" s="15" t="n"/>
      <c r="C146" s="15" t="n"/>
      <c r="D146" s="17" t="n"/>
      <c r="E146" s="15" t="n"/>
      <c r="F146" s="15" t="n"/>
      <c r="G146" s="12">
        <f>IF(A146="","",MONTH(A146))</f>
        <v/>
      </c>
    </row>
    <row r="147">
      <c r="A147" s="18" t="n"/>
      <c r="B147" s="15" t="n"/>
      <c r="C147" s="15" t="n"/>
      <c r="D147" s="17" t="n"/>
      <c r="E147" s="15" t="n"/>
      <c r="F147" s="15" t="n"/>
      <c r="G147" s="12">
        <f>IF(A147="","",MONTH(A147))</f>
        <v/>
      </c>
    </row>
    <row r="148">
      <c r="A148" s="18" t="n"/>
      <c r="B148" s="15" t="n"/>
      <c r="C148" s="15" t="n"/>
      <c r="D148" s="17" t="n"/>
      <c r="E148" s="15" t="n"/>
      <c r="F148" s="15" t="n"/>
      <c r="G148" s="12">
        <f>IF(A148="","",MONTH(A148))</f>
        <v/>
      </c>
    </row>
    <row r="149">
      <c r="A149" s="18" t="n"/>
      <c r="B149" s="15" t="n"/>
      <c r="C149" s="15" t="n"/>
      <c r="D149" s="17" t="n"/>
      <c r="E149" s="15" t="n"/>
      <c r="F149" s="15" t="n"/>
      <c r="G149" s="12">
        <f>IF(A149="","",MONTH(A149))</f>
        <v/>
      </c>
    </row>
    <row r="150">
      <c r="A150" s="18" t="n"/>
      <c r="B150" s="15" t="n"/>
      <c r="C150" s="15" t="n"/>
      <c r="D150" s="17" t="n"/>
      <c r="E150" s="15" t="n"/>
      <c r="F150" s="15" t="n"/>
      <c r="G150" s="12">
        <f>IF(A150="","",MONTH(A150))</f>
        <v/>
      </c>
    </row>
    <row r="151">
      <c r="A151" s="18" t="n"/>
      <c r="B151" s="15" t="n"/>
      <c r="C151" s="15" t="n"/>
      <c r="D151" s="17" t="n"/>
      <c r="E151" s="15" t="n"/>
      <c r="F151" s="15" t="n"/>
      <c r="G151" s="12">
        <f>IF(A151="","",MONTH(A151))</f>
        <v/>
      </c>
    </row>
    <row r="152">
      <c r="A152" s="18" t="n"/>
      <c r="B152" s="15" t="n"/>
      <c r="C152" s="15" t="n"/>
      <c r="D152" s="17" t="n"/>
      <c r="E152" s="15" t="n"/>
      <c r="F152" s="15" t="n"/>
      <c r="G152" s="12">
        <f>IF(A152="","",MONTH(A152))</f>
        <v/>
      </c>
    </row>
    <row r="153">
      <c r="A153" s="18" t="n"/>
      <c r="B153" s="15" t="n"/>
      <c r="C153" s="15" t="n"/>
      <c r="D153" s="17" t="n"/>
      <c r="E153" s="15" t="n"/>
      <c r="F153" s="15" t="n"/>
      <c r="G153" s="12">
        <f>IF(A153="","",MONTH(A153))</f>
        <v/>
      </c>
    </row>
    <row r="154">
      <c r="A154" s="18" t="n"/>
      <c r="B154" s="15" t="n"/>
      <c r="C154" s="15" t="n"/>
      <c r="D154" s="17" t="n"/>
      <c r="E154" s="15" t="n"/>
      <c r="F154" s="15" t="n"/>
      <c r="G154" s="12">
        <f>IF(A154="","",MONTH(A154))</f>
        <v/>
      </c>
    </row>
    <row r="155">
      <c r="A155" s="18" t="n"/>
      <c r="B155" s="15" t="n"/>
      <c r="C155" s="15" t="n"/>
      <c r="D155" s="17" t="n"/>
      <c r="E155" s="15" t="n"/>
      <c r="F155" s="15" t="n"/>
      <c r="G155" s="12">
        <f>IF(A155="","",MONTH(A155))</f>
        <v/>
      </c>
    </row>
    <row r="156">
      <c r="A156" s="18" t="n"/>
      <c r="B156" s="15" t="n"/>
      <c r="C156" s="15" t="n"/>
      <c r="D156" s="17" t="n"/>
      <c r="E156" s="15" t="n"/>
      <c r="F156" s="15" t="n"/>
      <c r="G156" s="12">
        <f>IF(A156="","",MONTH(A156))</f>
        <v/>
      </c>
    </row>
    <row r="157">
      <c r="A157" s="18" t="n"/>
      <c r="B157" s="15" t="n"/>
      <c r="C157" s="15" t="n"/>
      <c r="D157" s="17" t="n"/>
      <c r="E157" s="15" t="n"/>
      <c r="F157" s="15" t="n"/>
      <c r="G157" s="12">
        <f>IF(A157="","",MONTH(A157))</f>
        <v/>
      </c>
    </row>
    <row r="158">
      <c r="A158" s="18" t="n"/>
      <c r="B158" s="15" t="n"/>
      <c r="C158" s="15" t="n"/>
      <c r="D158" s="17" t="n"/>
      <c r="E158" s="15" t="n"/>
      <c r="F158" s="15" t="n"/>
      <c r="G158" s="12">
        <f>IF(A158="","",MONTH(A158))</f>
        <v/>
      </c>
    </row>
    <row r="159">
      <c r="A159" s="18" t="n"/>
      <c r="B159" s="15" t="n"/>
      <c r="C159" s="15" t="n"/>
      <c r="D159" s="17" t="n"/>
      <c r="E159" s="15" t="n"/>
      <c r="F159" s="15" t="n"/>
      <c r="G159" s="12">
        <f>IF(A159="","",MONTH(A159))</f>
        <v/>
      </c>
    </row>
    <row r="160">
      <c r="A160" s="18" t="n"/>
      <c r="B160" s="15" t="n"/>
      <c r="C160" s="15" t="n"/>
      <c r="D160" s="17" t="n"/>
      <c r="E160" s="15" t="n"/>
      <c r="F160" s="15" t="n"/>
      <c r="G160" s="12">
        <f>IF(A160="","",MONTH(A160))</f>
        <v/>
      </c>
    </row>
    <row r="161">
      <c r="A161" s="18" t="n"/>
      <c r="B161" s="15" t="n"/>
      <c r="C161" s="15" t="n"/>
      <c r="D161" s="17" t="n"/>
      <c r="E161" s="15" t="n"/>
      <c r="F161" s="15" t="n"/>
      <c r="G161" s="12">
        <f>IF(A161="","",MONTH(A161))</f>
        <v/>
      </c>
    </row>
    <row r="162">
      <c r="A162" s="18" t="n"/>
      <c r="B162" s="15" t="n"/>
      <c r="C162" s="15" t="n"/>
      <c r="D162" s="17" t="n"/>
      <c r="E162" s="15" t="n"/>
      <c r="F162" s="15" t="n"/>
      <c r="G162" s="12">
        <f>IF(A162="","",MONTH(A162))</f>
        <v/>
      </c>
    </row>
    <row r="163">
      <c r="A163" s="18" t="n"/>
      <c r="B163" s="15" t="n"/>
      <c r="C163" s="15" t="n"/>
      <c r="D163" s="17" t="n"/>
      <c r="E163" s="15" t="n"/>
      <c r="F163" s="15" t="n"/>
      <c r="G163" s="12">
        <f>IF(A163="","",MONTH(A163))</f>
        <v/>
      </c>
    </row>
    <row r="164">
      <c r="A164" s="18" t="n"/>
      <c r="B164" s="15" t="n"/>
      <c r="C164" s="15" t="n"/>
      <c r="D164" s="17" t="n"/>
      <c r="E164" s="15" t="n"/>
      <c r="F164" s="15" t="n"/>
      <c r="G164" s="12">
        <f>IF(A164="","",MONTH(A164))</f>
        <v/>
      </c>
    </row>
    <row r="165">
      <c r="A165" s="18" t="n"/>
      <c r="B165" s="15" t="n"/>
      <c r="C165" s="15" t="n"/>
      <c r="D165" s="17" t="n"/>
      <c r="E165" s="15" t="n"/>
      <c r="F165" s="15" t="n"/>
      <c r="G165" s="12">
        <f>IF(A165="","",MONTH(A165))</f>
        <v/>
      </c>
    </row>
    <row r="166">
      <c r="A166" s="18" t="n"/>
      <c r="B166" s="15" t="n"/>
      <c r="C166" s="15" t="n"/>
      <c r="D166" s="17" t="n"/>
      <c r="E166" s="15" t="n"/>
      <c r="F166" s="15" t="n"/>
      <c r="G166" s="12">
        <f>IF(A166="","",MONTH(A166))</f>
        <v/>
      </c>
    </row>
    <row r="167">
      <c r="A167" s="18" t="n"/>
      <c r="B167" s="15" t="n"/>
      <c r="C167" s="15" t="n"/>
      <c r="D167" s="17" t="n"/>
      <c r="E167" s="15" t="n"/>
      <c r="F167" s="15" t="n"/>
      <c r="G167" s="12">
        <f>IF(A167="","",MONTH(A167))</f>
        <v/>
      </c>
    </row>
    <row r="168">
      <c r="A168" s="18" t="n"/>
      <c r="B168" s="15" t="n"/>
      <c r="C168" s="15" t="n"/>
      <c r="D168" s="17" t="n"/>
      <c r="E168" s="15" t="n"/>
      <c r="F168" s="15" t="n"/>
      <c r="G168" s="12">
        <f>IF(A168="","",MONTH(A168))</f>
        <v/>
      </c>
    </row>
    <row r="169">
      <c r="A169" s="18" t="n"/>
      <c r="B169" s="15" t="n"/>
      <c r="C169" s="15" t="n"/>
      <c r="D169" s="17" t="n"/>
      <c r="E169" s="15" t="n"/>
      <c r="F169" s="15" t="n"/>
      <c r="G169" s="12">
        <f>IF(A169="","",MONTH(A169))</f>
        <v/>
      </c>
    </row>
    <row r="170">
      <c r="A170" s="18" t="n"/>
      <c r="B170" s="15" t="n"/>
      <c r="C170" s="15" t="n"/>
      <c r="D170" s="17" t="n"/>
      <c r="E170" s="15" t="n"/>
      <c r="F170" s="15" t="n"/>
      <c r="G170" s="12">
        <f>IF(A170="","",MONTH(A170))</f>
        <v/>
      </c>
    </row>
    <row r="171">
      <c r="A171" s="18" t="n"/>
      <c r="B171" s="15" t="n"/>
      <c r="C171" s="15" t="n"/>
      <c r="D171" s="17" t="n"/>
      <c r="E171" s="15" t="n"/>
      <c r="F171" s="15" t="n"/>
      <c r="G171" s="12">
        <f>IF(A171="","",MONTH(A171))</f>
        <v/>
      </c>
    </row>
    <row r="172">
      <c r="A172" s="18" t="n"/>
      <c r="B172" s="15" t="n"/>
      <c r="C172" s="15" t="n"/>
      <c r="D172" s="17" t="n"/>
      <c r="E172" s="15" t="n"/>
      <c r="F172" s="15" t="n"/>
      <c r="G172" s="12">
        <f>IF(A172="","",MONTH(A172))</f>
        <v/>
      </c>
    </row>
    <row r="173">
      <c r="A173" s="18" t="n"/>
      <c r="B173" s="15" t="n"/>
      <c r="C173" s="15" t="n"/>
      <c r="D173" s="17" t="n"/>
      <c r="E173" s="15" t="n"/>
      <c r="F173" s="15" t="n"/>
      <c r="G173" s="12">
        <f>IF(A173="","",MONTH(A173))</f>
        <v/>
      </c>
    </row>
    <row r="174">
      <c r="A174" s="18" t="n"/>
      <c r="B174" s="15" t="n"/>
      <c r="C174" s="15" t="n"/>
      <c r="D174" s="17" t="n"/>
      <c r="E174" s="15" t="n"/>
      <c r="F174" s="15" t="n"/>
      <c r="G174" s="12">
        <f>IF(A174="","",MONTH(A174))</f>
        <v/>
      </c>
    </row>
    <row r="175">
      <c r="A175" s="18" t="n"/>
      <c r="B175" s="15" t="n"/>
      <c r="C175" s="15" t="n"/>
      <c r="D175" s="17" t="n"/>
      <c r="E175" s="15" t="n"/>
      <c r="F175" s="15" t="n"/>
      <c r="G175" s="12">
        <f>IF(A175="","",MONTH(A175))</f>
        <v/>
      </c>
    </row>
    <row r="176">
      <c r="A176" s="18" t="n"/>
      <c r="B176" s="15" t="n"/>
      <c r="C176" s="15" t="n"/>
      <c r="D176" s="17" t="n"/>
      <c r="E176" s="15" t="n"/>
      <c r="F176" s="15" t="n"/>
      <c r="G176" s="12">
        <f>IF(A176="","",MONTH(A176))</f>
        <v/>
      </c>
    </row>
    <row r="177">
      <c r="A177" s="18" t="n"/>
      <c r="B177" s="15" t="n"/>
      <c r="C177" s="15" t="n"/>
      <c r="D177" s="17" t="n"/>
      <c r="E177" s="15" t="n"/>
      <c r="F177" s="15" t="n"/>
      <c r="G177" s="12">
        <f>IF(A177="","",MONTH(A177))</f>
        <v/>
      </c>
    </row>
    <row r="178">
      <c r="A178" s="18" t="n"/>
      <c r="B178" s="15" t="n"/>
      <c r="C178" s="15" t="n"/>
      <c r="D178" s="17" t="n"/>
      <c r="E178" s="15" t="n"/>
      <c r="F178" s="15" t="n"/>
      <c r="G178" s="12">
        <f>IF(A178="","",MONTH(A178))</f>
        <v/>
      </c>
    </row>
    <row r="179">
      <c r="A179" s="18" t="n"/>
      <c r="B179" s="15" t="n"/>
      <c r="C179" s="15" t="n"/>
      <c r="D179" s="17" t="n"/>
      <c r="E179" s="15" t="n"/>
      <c r="F179" s="15" t="n"/>
      <c r="G179" s="12">
        <f>IF(A179="","",MONTH(A179))</f>
        <v/>
      </c>
    </row>
    <row r="180">
      <c r="A180" s="18" t="n"/>
      <c r="B180" s="15" t="n"/>
      <c r="C180" s="15" t="n"/>
      <c r="D180" s="17" t="n"/>
      <c r="E180" s="15" t="n"/>
      <c r="F180" s="15" t="n"/>
      <c r="G180" s="12">
        <f>IF(A180="","",MONTH(A180))</f>
        <v/>
      </c>
    </row>
    <row r="181">
      <c r="A181" s="18" t="n"/>
      <c r="B181" s="15" t="n"/>
      <c r="C181" s="15" t="n"/>
      <c r="D181" s="17" t="n"/>
      <c r="E181" s="15" t="n"/>
      <c r="F181" s="15" t="n"/>
      <c r="G181" s="12">
        <f>IF(A181="","",MONTH(A181))</f>
        <v/>
      </c>
    </row>
    <row r="182">
      <c r="A182" s="18" t="n"/>
      <c r="B182" s="15" t="n"/>
      <c r="C182" s="15" t="n"/>
      <c r="D182" s="17" t="n"/>
      <c r="E182" s="15" t="n"/>
      <c r="F182" s="15" t="n"/>
      <c r="G182" s="12">
        <f>IF(A182="","",MONTH(A182))</f>
        <v/>
      </c>
    </row>
    <row r="183">
      <c r="A183" s="18" t="n"/>
      <c r="B183" s="15" t="n"/>
      <c r="C183" s="15" t="n"/>
      <c r="D183" s="17" t="n"/>
      <c r="E183" s="15" t="n"/>
      <c r="F183" s="15" t="n"/>
      <c r="G183" s="12">
        <f>IF(A183="","",MONTH(A183))</f>
        <v/>
      </c>
    </row>
    <row r="184">
      <c r="A184" s="18" t="n"/>
      <c r="B184" s="15" t="n"/>
      <c r="C184" s="15" t="n"/>
      <c r="D184" s="17" t="n"/>
      <c r="E184" s="15" t="n"/>
      <c r="F184" s="15" t="n"/>
      <c r="G184" s="12">
        <f>IF(A184="","",MONTH(A184))</f>
        <v/>
      </c>
    </row>
    <row r="185">
      <c r="A185" s="18" t="n"/>
      <c r="B185" s="15" t="n"/>
      <c r="C185" s="15" t="n"/>
      <c r="D185" s="17" t="n"/>
      <c r="E185" s="15" t="n"/>
      <c r="F185" s="15" t="n"/>
      <c r="G185" s="12">
        <f>IF(A185="","",MONTH(A185))</f>
        <v/>
      </c>
    </row>
    <row r="186">
      <c r="A186" s="18" t="n"/>
      <c r="B186" s="15" t="n"/>
      <c r="C186" s="15" t="n"/>
      <c r="D186" s="17" t="n"/>
      <c r="E186" s="15" t="n"/>
      <c r="F186" s="15" t="n"/>
      <c r="G186" s="12">
        <f>IF(A186="","",MONTH(A186))</f>
        <v/>
      </c>
    </row>
    <row r="187">
      <c r="A187" s="18" t="n"/>
      <c r="B187" s="15" t="n"/>
      <c r="C187" s="15" t="n"/>
      <c r="D187" s="17" t="n"/>
      <c r="E187" s="15" t="n"/>
      <c r="F187" s="15" t="n"/>
      <c r="G187" s="12">
        <f>IF(A187="","",MONTH(A187))</f>
        <v/>
      </c>
    </row>
    <row r="188">
      <c r="A188" s="18" t="n"/>
      <c r="B188" s="15" t="n"/>
      <c r="C188" s="15" t="n"/>
      <c r="D188" s="17" t="n"/>
      <c r="E188" s="15" t="n"/>
      <c r="F188" s="15" t="n"/>
      <c r="G188" s="12">
        <f>IF(A188="","",MONTH(A188))</f>
        <v/>
      </c>
    </row>
    <row r="189">
      <c r="A189" s="18" t="n"/>
      <c r="B189" s="15" t="n"/>
      <c r="C189" s="15" t="n"/>
      <c r="D189" s="17" t="n"/>
      <c r="E189" s="15" t="n"/>
      <c r="F189" s="15" t="n"/>
      <c r="G189" s="12">
        <f>IF(A189="","",MONTH(A189))</f>
        <v/>
      </c>
    </row>
    <row r="190">
      <c r="A190" s="18" t="n"/>
      <c r="B190" s="15" t="n"/>
      <c r="C190" s="15" t="n"/>
      <c r="D190" s="17" t="n"/>
      <c r="E190" s="15" t="n"/>
      <c r="F190" s="15" t="n"/>
      <c r="G190" s="12">
        <f>IF(A190="","",MONTH(A190))</f>
        <v/>
      </c>
    </row>
    <row r="191">
      <c r="A191" s="18" t="n"/>
      <c r="B191" s="15" t="n"/>
      <c r="C191" s="15" t="n"/>
      <c r="D191" s="17" t="n"/>
      <c r="E191" s="15" t="n"/>
      <c r="F191" s="15" t="n"/>
      <c r="G191" s="12">
        <f>IF(A191="","",MONTH(A191))</f>
        <v/>
      </c>
    </row>
    <row r="192">
      <c r="A192" s="18" t="n"/>
      <c r="B192" s="15" t="n"/>
      <c r="C192" s="15" t="n"/>
      <c r="D192" s="17" t="n"/>
      <c r="E192" s="15" t="n"/>
      <c r="F192" s="15" t="n"/>
      <c r="G192" s="12">
        <f>IF(A192="","",MONTH(A192))</f>
        <v/>
      </c>
    </row>
    <row r="193">
      <c r="A193" s="18" t="n"/>
      <c r="B193" s="15" t="n"/>
      <c r="C193" s="15" t="n"/>
      <c r="D193" s="17" t="n"/>
      <c r="E193" s="15" t="n"/>
      <c r="F193" s="15" t="n"/>
      <c r="G193" s="12">
        <f>IF(A193="","",MONTH(A193))</f>
        <v/>
      </c>
    </row>
    <row r="194">
      <c r="A194" s="18" t="n"/>
      <c r="B194" s="15" t="n"/>
      <c r="C194" s="15" t="n"/>
      <c r="D194" s="17" t="n"/>
      <c r="E194" s="15" t="n"/>
      <c r="F194" s="15" t="n"/>
      <c r="G194" s="12">
        <f>IF(A194="","",MONTH(A194))</f>
        <v/>
      </c>
    </row>
    <row r="195">
      <c r="A195" s="18" t="n"/>
      <c r="B195" s="15" t="n"/>
      <c r="C195" s="15" t="n"/>
      <c r="D195" s="17" t="n"/>
      <c r="E195" s="15" t="n"/>
      <c r="F195" s="15" t="n"/>
      <c r="G195" s="12">
        <f>IF(A195="","",MONTH(A195))</f>
        <v/>
      </c>
    </row>
    <row r="196">
      <c r="A196" s="18" t="n"/>
      <c r="B196" s="15" t="n"/>
      <c r="C196" s="15" t="n"/>
      <c r="D196" s="17" t="n"/>
      <c r="E196" s="15" t="n"/>
      <c r="F196" s="15" t="n"/>
      <c r="G196" s="12">
        <f>IF(A196="","",MONTH(A196))</f>
        <v/>
      </c>
    </row>
    <row r="197">
      <c r="A197" s="18" t="n"/>
      <c r="B197" s="15" t="n"/>
      <c r="C197" s="15" t="n"/>
      <c r="D197" s="17" t="n"/>
      <c r="E197" s="15" t="n"/>
      <c r="F197" s="15" t="n"/>
      <c r="G197" s="12">
        <f>IF(A197="","",MONTH(A197))</f>
        <v/>
      </c>
    </row>
    <row r="198">
      <c r="A198" s="18" t="n"/>
      <c r="B198" s="15" t="n"/>
      <c r="C198" s="15" t="n"/>
      <c r="D198" s="17" t="n"/>
      <c r="E198" s="15" t="n"/>
      <c r="F198" s="15" t="n"/>
      <c r="G198" s="12">
        <f>IF(A198="","",MONTH(A198))</f>
        <v/>
      </c>
    </row>
    <row r="199">
      <c r="A199" s="18" t="n"/>
      <c r="B199" s="15" t="n"/>
      <c r="C199" s="15" t="n"/>
      <c r="D199" s="17" t="n"/>
      <c r="E199" s="15" t="n"/>
      <c r="F199" s="15" t="n"/>
      <c r="G199" s="12">
        <f>IF(A199="","",MONTH(A199))</f>
        <v/>
      </c>
    </row>
    <row r="200">
      <c r="A200" s="18" t="n"/>
      <c r="B200" s="15" t="n"/>
      <c r="C200" s="15" t="n"/>
      <c r="D200" s="17" t="n"/>
      <c r="E200" s="15" t="n"/>
      <c r="F200" s="15" t="n"/>
      <c r="G200" s="12">
        <f>IF(A200="","",MONTH(A200))</f>
        <v/>
      </c>
    </row>
    <row r="201">
      <c r="A201" s="18" t="n"/>
      <c r="B201" s="15" t="n"/>
      <c r="C201" s="15" t="n"/>
      <c r="D201" s="17" t="n"/>
      <c r="E201" s="15" t="n"/>
      <c r="F201" s="15" t="n"/>
      <c r="G201" s="12">
        <f>IF(A201="","",MONTH(A201))</f>
        <v/>
      </c>
    </row>
    <row r="202">
      <c r="A202" s="18" t="n"/>
      <c r="B202" s="15" t="n"/>
      <c r="C202" s="15" t="n"/>
      <c r="D202" s="17" t="n"/>
      <c r="E202" s="15" t="n"/>
      <c r="F202" s="15" t="n"/>
      <c r="G202" s="12">
        <f>IF(A202="","",MONTH(A202))</f>
        <v/>
      </c>
    </row>
    <row r="203">
      <c r="A203" s="18" t="n"/>
      <c r="B203" s="15" t="n"/>
      <c r="C203" s="15" t="n"/>
      <c r="D203" s="17" t="n"/>
      <c r="E203" s="15" t="n"/>
      <c r="F203" s="15" t="n"/>
      <c r="G203" s="12">
        <f>IF(A203="","",MONTH(A203))</f>
        <v/>
      </c>
    </row>
    <row r="204">
      <c r="A204" s="18" t="n"/>
      <c r="B204" s="15" t="n"/>
      <c r="C204" s="15" t="n"/>
      <c r="D204" s="17" t="n"/>
      <c r="E204" s="15" t="n"/>
      <c r="F204" s="15" t="n"/>
      <c r="G204" s="12">
        <f>IF(A204="","",MONTH(A204))</f>
        <v/>
      </c>
    </row>
    <row r="205">
      <c r="A205" s="18" t="n"/>
      <c r="B205" s="15" t="n"/>
      <c r="C205" s="15" t="n"/>
      <c r="D205" s="17" t="n"/>
      <c r="E205" s="15" t="n"/>
      <c r="F205" s="15" t="n"/>
      <c r="G205" s="12">
        <f>IF(A205="","",MONTH(A205))</f>
        <v/>
      </c>
    </row>
    <row r="206">
      <c r="A206" s="18" t="n"/>
      <c r="B206" s="15" t="n"/>
      <c r="C206" s="15" t="n"/>
      <c r="D206" s="17" t="n"/>
      <c r="E206" s="15" t="n"/>
      <c r="F206" s="15" t="n"/>
      <c r="G206" s="12">
        <f>IF(A206="","",MONTH(A206))</f>
        <v/>
      </c>
    </row>
    <row r="207">
      <c r="A207" s="18" t="n"/>
      <c r="B207" s="15" t="n"/>
      <c r="C207" s="15" t="n"/>
      <c r="D207" s="17" t="n"/>
      <c r="E207" s="15" t="n"/>
      <c r="F207" s="15" t="n"/>
      <c r="G207" s="12">
        <f>IF(A207="","",MONTH(A207))</f>
        <v/>
      </c>
    </row>
    <row r="208">
      <c r="A208" s="18" t="n"/>
      <c r="B208" s="15" t="n"/>
      <c r="C208" s="15" t="n"/>
      <c r="D208" s="17" t="n"/>
      <c r="E208" s="15" t="n"/>
      <c r="F208" s="15" t="n"/>
      <c r="G208" s="12">
        <f>IF(A208="","",MONTH(A208))</f>
        <v/>
      </c>
    </row>
    <row r="209">
      <c r="A209" s="18" t="n"/>
      <c r="B209" s="15" t="n"/>
      <c r="C209" s="15" t="n"/>
      <c r="D209" s="17" t="n"/>
      <c r="E209" s="15" t="n"/>
      <c r="F209" s="15" t="n"/>
      <c r="G209" s="12">
        <f>IF(A209="","",MONTH(A209))</f>
        <v/>
      </c>
    </row>
    <row r="210">
      <c r="A210" s="18" t="n"/>
      <c r="B210" s="15" t="n"/>
      <c r="C210" s="15" t="n"/>
      <c r="D210" s="17" t="n"/>
      <c r="E210" s="15" t="n"/>
      <c r="F210" s="15" t="n"/>
      <c r="G210" s="12">
        <f>IF(A210="","",MONTH(A210))</f>
        <v/>
      </c>
    </row>
    <row r="211">
      <c r="A211" s="18" t="n"/>
      <c r="B211" s="15" t="n"/>
      <c r="C211" s="15" t="n"/>
      <c r="D211" s="17" t="n"/>
      <c r="E211" s="15" t="n"/>
      <c r="F211" s="15" t="n"/>
      <c r="G211" s="12">
        <f>IF(A211="","",MONTH(A211))</f>
        <v/>
      </c>
    </row>
    <row r="212">
      <c r="A212" s="18" t="n"/>
      <c r="B212" s="15" t="n"/>
      <c r="C212" s="15" t="n"/>
      <c r="D212" s="17" t="n"/>
      <c r="E212" s="15" t="n"/>
      <c r="F212" s="15" t="n"/>
      <c r="G212" s="12">
        <f>IF(A212="","",MONTH(A212))</f>
        <v/>
      </c>
    </row>
    <row r="213">
      <c r="A213" s="18" t="n"/>
      <c r="B213" s="15" t="n"/>
      <c r="C213" s="15" t="n"/>
      <c r="D213" s="17" t="n"/>
      <c r="E213" s="15" t="n"/>
      <c r="F213" s="15" t="n"/>
      <c r="G213" s="12">
        <f>IF(A213="","",MONTH(A213))</f>
        <v/>
      </c>
    </row>
    <row r="214">
      <c r="A214" s="18" t="n"/>
      <c r="B214" s="15" t="n"/>
      <c r="C214" s="15" t="n"/>
      <c r="D214" s="17" t="n"/>
      <c r="E214" s="15" t="n"/>
      <c r="F214" s="15" t="n"/>
      <c r="G214" s="12">
        <f>IF(A214="","",MONTH(A214))</f>
        <v/>
      </c>
    </row>
    <row r="215">
      <c r="A215" s="18" t="n"/>
      <c r="B215" s="15" t="n"/>
      <c r="C215" s="15" t="n"/>
      <c r="D215" s="17" t="n"/>
      <c r="E215" s="15" t="n"/>
      <c r="F215" s="15" t="n"/>
      <c r="G215" s="12">
        <f>IF(A215="","",MONTH(A215))</f>
        <v/>
      </c>
    </row>
    <row r="216">
      <c r="A216" s="18" t="n"/>
      <c r="B216" s="15" t="n"/>
      <c r="C216" s="15" t="n"/>
      <c r="D216" s="17" t="n"/>
      <c r="E216" s="15" t="n"/>
      <c r="F216" s="15" t="n"/>
      <c r="G216" s="12">
        <f>IF(A216="","",MONTH(A216))</f>
        <v/>
      </c>
    </row>
    <row r="217">
      <c r="A217" s="18" t="n"/>
      <c r="B217" s="15" t="n"/>
      <c r="C217" s="15" t="n"/>
      <c r="D217" s="17" t="n"/>
      <c r="E217" s="15" t="n"/>
      <c r="F217" s="15" t="n"/>
      <c r="G217" s="12">
        <f>IF(A217="","",MONTH(A217))</f>
        <v/>
      </c>
    </row>
    <row r="218">
      <c r="A218" s="18" t="n"/>
      <c r="B218" s="15" t="n"/>
      <c r="C218" s="15" t="n"/>
      <c r="D218" s="17" t="n"/>
      <c r="E218" s="15" t="n"/>
      <c r="F218" s="15" t="n"/>
      <c r="G218" s="12">
        <f>IF(A218="","",MONTH(A218))</f>
        <v/>
      </c>
    </row>
    <row r="219">
      <c r="A219" s="18" t="n"/>
      <c r="B219" s="15" t="n"/>
      <c r="C219" s="15" t="n"/>
      <c r="D219" s="17" t="n"/>
      <c r="E219" s="15" t="n"/>
      <c r="F219" s="15" t="n"/>
      <c r="G219" s="12">
        <f>IF(A219="","",MONTH(A219))</f>
        <v/>
      </c>
    </row>
    <row r="220">
      <c r="A220" s="18" t="n"/>
      <c r="B220" s="15" t="n"/>
      <c r="C220" s="15" t="n"/>
      <c r="D220" s="17" t="n"/>
      <c r="E220" s="15" t="n"/>
      <c r="F220" s="15" t="n"/>
      <c r="G220" s="12">
        <f>IF(A220="","",MONTH(A220))</f>
        <v/>
      </c>
    </row>
    <row r="221">
      <c r="A221" s="18" t="n"/>
      <c r="B221" s="15" t="n"/>
      <c r="C221" s="15" t="n"/>
      <c r="D221" s="17" t="n"/>
      <c r="E221" s="15" t="n"/>
      <c r="F221" s="15" t="n"/>
      <c r="G221" s="12">
        <f>IF(A221="","",MONTH(A221))</f>
        <v/>
      </c>
    </row>
    <row r="222">
      <c r="A222" s="18" t="n"/>
      <c r="B222" s="15" t="n"/>
      <c r="C222" s="15" t="n"/>
      <c r="D222" s="17" t="n"/>
      <c r="E222" s="15" t="n"/>
      <c r="F222" s="15" t="n"/>
      <c r="G222" s="12">
        <f>IF(A222="","",MONTH(A222))</f>
        <v/>
      </c>
    </row>
    <row r="223">
      <c r="A223" s="18" t="n"/>
      <c r="B223" s="15" t="n"/>
      <c r="C223" s="15" t="n"/>
      <c r="D223" s="17" t="n"/>
      <c r="E223" s="15" t="n"/>
      <c r="F223" s="15" t="n"/>
      <c r="G223" s="12">
        <f>IF(A223="","",MONTH(A223))</f>
        <v/>
      </c>
    </row>
    <row r="224">
      <c r="A224" s="18" t="n"/>
      <c r="B224" s="15" t="n"/>
      <c r="C224" s="15" t="n"/>
      <c r="D224" s="17" t="n"/>
      <c r="E224" s="15" t="n"/>
      <c r="F224" s="15" t="n"/>
      <c r="G224" s="12">
        <f>IF(A224="","",MONTH(A224))</f>
        <v/>
      </c>
    </row>
    <row r="225">
      <c r="A225" s="18" t="n"/>
      <c r="B225" s="15" t="n"/>
      <c r="C225" s="15" t="n"/>
      <c r="D225" s="17" t="n"/>
      <c r="E225" s="15" t="n"/>
      <c r="F225" s="15" t="n"/>
      <c r="G225" s="12">
        <f>IF(A225="","",MONTH(A225))</f>
        <v/>
      </c>
    </row>
    <row r="226">
      <c r="A226" s="18" t="n"/>
      <c r="B226" s="15" t="n"/>
      <c r="C226" s="15" t="n"/>
      <c r="D226" s="17" t="n"/>
      <c r="E226" s="15" t="n"/>
      <c r="F226" s="15" t="n"/>
      <c r="G226" s="12">
        <f>IF(A226="","",MONTH(A226))</f>
        <v/>
      </c>
    </row>
    <row r="227">
      <c r="A227" s="18" t="n"/>
      <c r="B227" s="15" t="n"/>
      <c r="C227" s="15" t="n"/>
      <c r="D227" s="17" t="n"/>
      <c r="E227" s="15" t="n"/>
      <c r="F227" s="15" t="n"/>
      <c r="G227" s="12">
        <f>IF(A227="","",MONTH(A227))</f>
        <v/>
      </c>
    </row>
    <row r="228">
      <c r="A228" s="18" t="n"/>
      <c r="B228" s="15" t="n"/>
      <c r="C228" s="15" t="n"/>
      <c r="D228" s="17" t="n"/>
      <c r="E228" s="15" t="n"/>
      <c r="F228" s="15" t="n"/>
      <c r="G228" s="12">
        <f>IF(A228="","",MONTH(A228))</f>
        <v/>
      </c>
    </row>
    <row r="229">
      <c r="A229" s="18" t="n"/>
      <c r="B229" s="15" t="n"/>
      <c r="C229" s="15" t="n"/>
      <c r="D229" s="17" t="n"/>
      <c r="E229" s="15" t="n"/>
      <c r="F229" s="15" t="n"/>
      <c r="G229" s="12">
        <f>IF(A229="","",MONTH(A229))</f>
        <v/>
      </c>
    </row>
    <row r="230">
      <c r="A230" s="18" t="n"/>
      <c r="B230" s="15" t="n"/>
      <c r="C230" s="15" t="n"/>
      <c r="D230" s="17" t="n"/>
      <c r="E230" s="15" t="n"/>
      <c r="F230" s="15" t="n"/>
      <c r="G230" s="12">
        <f>IF(A230="","",MONTH(A230))</f>
        <v/>
      </c>
    </row>
    <row r="231">
      <c r="A231" s="18" t="n"/>
      <c r="B231" s="15" t="n"/>
      <c r="C231" s="15" t="n"/>
      <c r="D231" s="17" t="n"/>
      <c r="E231" s="15" t="n"/>
      <c r="F231" s="15" t="n"/>
      <c r="G231" s="12">
        <f>IF(A231="","",MONTH(A231))</f>
        <v/>
      </c>
    </row>
    <row r="232">
      <c r="A232" s="18" t="n"/>
      <c r="B232" s="15" t="n"/>
      <c r="C232" s="15" t="n"/>
      <c r="D232" s="17" t="n"/>
      <c r="E232" s="15" t="n"/>
      <c r="F232" s="15" t="n"/>
      <c r="G232" s="12">
        <f>IF(A232="","",MONTH(A232))</f>
        <v/>
      </c>
    </row>
    <row r="233">
      <c r="A233" s="18" t="n"/>
      <c r="B233" s="15" t="n"/>
      <c r="C233" s="15" t="n"/>
      <c r="D233" s="17" t="n"/>
      <c r="E233" s="15" t="n"/>
      <c r="F233" s="15" t="n"/>
      <c r="G233" s="12">
        <f>IF(A233="","",MONTH(A233))</f>
        <v/>
      </c>
    </row>
    <row r="234">
      <c r="A234" s="18" t="n"/>
      <c r="B234" s="15" t="n"/>
      <c r="C234" s="15" t="n"/>
      <c r="D234" s="17" t="n"/>
      <c r="E234" s="15" t="n"/>
      <c r="F234" s="15" t="n"/>
      <c r="G234" s="12">
        <f>IF(A234="","",MONTH(A234))</f>
        <v/>
      </c>
    </row>
    <row r="235">
      <c r="A235" s="18" t="n"/>
      <c r="B235" s="15" t="n"/>
      <c r="C235" s="15" t="n"/>
      <c r="D235" s="17" t="n"/>
      <c r="E235" s="15" t="n"/>
      <c r="F235" s="15" t="n"/>
      <c r="G235" s="12">
        <f>IF(A235="","",MONTH(A235))</f>
        <v/>
      </c>
    </row>
    <row r="236">
      <c r="A236" s="18" t="n"/>
      <c r="B236" s="15" t="n"/>
      <c r="C236" s="15" t="n"/>
      <c r="D236" s="17" t="n"/>
      <c r="E236" s="15" t="n"/>
      <c r="F236" s="15" t="n"/>
      <c r="G236" s="12">
        <f>IF(A236="","",MONTH(A236))</f>
        <v/>
      </c>
    </row>
    <row r="237">
      <c r="A237" s="18" t="n"/>
      <c r="B237" s="15" t="n"/>
      <c r="C237" s="15" t="n"/>
      <c r="D237" s="17" t="n"/>
      <c r="E237" s="15" t="n"/>
      <c r="F237" s="15" t="n"/>
      <c r="G237" s="12">
        <f>IF(A237="","",MONTH(A237))</f>
        <v/>
      </c>
    </row>
    <row r="238">
      <c r="A238" s="18" t="n"/>
      <c r="B238" s="15" t="n"/>
      <c r="C238" s="15" t="n"/>
      <c r="D238" s="17" t="n"/>
      <c r="E238" s="15" t="n"/>
      <c r="F238" s="15" t="n"/>
      <c r="G238" s="12">
        <f>IF(A238="","",MONTH(A238))</f>
        <v/>
      </c>
    </row>
    <row r="239">
      <c r="A239" s="18" t="n"/>
      <c r="B239" s="15" t="n"/>
      <c r="C239" s="15" t="n"/>
      <c r="D239" s="17" t="n"/>
      <c r="E239" s="15" t="n"/>
      <c r="F239" s="15" t="n"/>
      <c r="G239" s="12">
        <f>IF(A239="","",MONTH(A239))</f>
        <v/>
      </c>
    </row>
    <row r="240">
      <c r="A240" s="18" t="n"/>
      <c r="B240" s="15" t="n"/>
      <c r="C240" s="15" t="n"/>
      <c r="D240" s="17" t="n"/>
      <c r="E240" s="15" t="n"/>
      <c r="F240" s="15" t="n"/>
      <c r="G240" s="12">
        <f>IF(A240="","",MONTH(A240))</f>
        <v/>
      </c>
    </row>
    <row r="241">
      <c r="A241" s="18" t="n"/>
      <c r="B241" s="15" t="n"/>
      <c r="C241" s="15" t="n"/>
      <c r="D241" s="17" t="n"/>
      <c r="E241" s="15" t="n"/>
      <c r="F241" s="15" t="n"/>
      <c r="G241" s="12">
        <f>IF(A241="","",MONTH(A241))</f>
        <v/>
      </c>
    </row>
    <row r="242">
      <c r="A242" s="18" t="n"/>
      <c r="B242" s="15" t="n"/>
      <c r="C242" s="15" t="n"/>
      <c r="D242" s="17" t="n"/>
      <c r="E242" s="15" t="n"/>
      <c r="F242" s="15" t="n"/>
      <c r="G242" s="12">
        <f>IF(A242="","",MONTH(A242))</f>
        <v/>
      </c>
    </row>
    <row r="243">
      <c r="A243" s="18" t="n"/>
      <c r="B243" s="15" t="n"/>
      <c r="C243" s="15" t="n"/>
      <c r="D243" s="17" t="n"/>
      <c r="E243" s="15" t="n"/>
      <c r="F243" s="15" t="n"/>
      <c r="G243" s="12">
        <f>IF(A243="","",MONTH(A243))</f>
        <v/>
      </c>
    </row>
    <row r="244">
      <c r="A244" s="18" t="n"/>
      <c r="B244" s="15" t="n"/>
      <c r="C244" s="15" t="n"/>
      <c r="D244" s="17" t="n"/>
      <c r="E244" s="15" t="n"/>
      <c r="F244" s="15" t="n"/>
      <c r="G244" s="12">
        <f>IF(A244="","",MONTH(A244))</f>
        <v/>
      </c>
    </row>
    <row r="245">
      <c r="A245" s="18" t="n"/>
      <c r="B245" s="15" t="n"/>
      <c r="C245" s="15" t="n"/>
      <c r="D245" s="17" t="n"/>
      <c r="E245" s="15" t="n"/>
      <c r="F245" s="15" t="n"/>
      <c r="G245" s="12">
        <f>IF(A245="","",MONTH(A245))</f>
        <v/>
      </c>
    </row>
    <row r="246">
      <c r="A246" s="18" t="n"/>
      <c r="B246" s="15" t="n"/>
      <c r="C246" s="15" t="n"/>
      <c r="D246" s="17" t="n"/>
      <c r="E246" s="15" t="n"/>
      <c r="F246" s="15" t="n"/>
      <c r="G246" s="12">
        <f>IF(A246="","",MONTH(A246))</f>
        <v/>
      </c>
    </row>
    <row r="247">
      <c r="A247" s="18" t="n"/>
      <c r="B247" s="15" t="n"/>
      <c r="C247" s="15" t="n"/>
      <c r="D247" s="17" t="n"/>
      <c r="E247" s="15" t="n"/>
      <c r="F247" s="15" t="n"/>
      <c r="G247" s="12">
        <f>IF(A247="","",MONTH(A247))</f>
        <v/>
      </c>
    </row>
    <row r="248">
      <c r="A248" s="18" t="n"/>
      <c r="B248" s="15" t="n"/>
      <c r="C248" s="15" t="n"/>
      <c r="D248" s="17" t="n"/>
      <c r="E248" s="15" t="n"/>
      <c r="F248" s="15" t="n"/>
      <c r="G248" s="12">
        <f>IF(A248="","",MONTH(A248))</f>
        <v/>
      </c>
    </row>
    <row r="249">
      <c r="A249" s="18" t="n"/>
      <c r="B249" s="15" t="n"/>
      <c r="C249" s="15" t="n"/>
      <c r="D249" s="17" t="n"/>
      <c r="E249" s="15" t="n"/>
      <c r="F249" s="15" t="n"/>
      <c r="G249" s="12">
        <f>IF(A249="","",MONTH(A249))</f>
        <v/>
      </c>
    </row>
    <row r="250">
      <c r="A250" s="18" t="n"/>
      <c r="B250" s="15" t="n"/>
      <c r="C250" s="15" t="n"/>
      <c r="D250" s="17" t="n"/>
      <c r="E250" s="15" t="n"/>
      <c r="F250" s="15" t="n"/>
      <c r="G250" s="12">
        <f>IF(A250="","",MONTH(A250))</f>
        <v/>
      </c>
    </row>
    <row r="251">
      <c r="A251" s="18" t="n"/>
      <c r="B251" s="15" t="n"/>
      <c r="C251" s="15" t="n"/>
      <c r="D251" s="17" t="n"/>
      <c r="E251" s="15" t="n"/>
      <c r="F251" s="15" t="n"/>
      <c r="G251" s="12">
        <f>IF(A251="","",MONTH(A251))</f>
        <v/>
      </c>
    </row>
    <row r="252">
      <c r="A252" s="18" t="n"/>
      <c r="B252" s="15" t="n"/>
      <c r="C252" s="15" t="n"/>
      <c r="D252" s="17" t="n"/>
      <c r="E252" s="15" t="n"/>
      <c r="F252" s="15" t="n"/>
      <c r="G252" s="12">
        <f>IF(A252="","",MONTH(A252))</f>
        <v/>
      </c>
    </row>
    <row r="253">
      <c r="A253" s="18" t="n"/>
      <c r="B253" s="15" t="n"/>
      <c r="C253" s="15" t="n"/>
      <c r="D253" s="17" t="n"/>
      <c r="E253" s="15" t="n"/>
      <c r="F253" s="15" t="n"/>
      <c r="G253" s="12">
        <f>IF(A253="","",MONTH(A253))</f>
        <v/>
      </c>
    </row>
    <row r="254">
      <c r="A254" s="18" t="n"/>
      <c r="B254" s="15" t="n"/>
      <c r="C254" s="15" t="n"/>
      <c r="D254" s="17" t="n"/>
      <c r="E254" s="15" t="n"/>
      <c r="F254" s="15" t="n"/>
      <c r="G254" s="12">
        <f>IF(A254="","",MONTH(A254))</f>
        <v/>
      </c>
    </row>
    <row r="255">
      <c r="A255" s="18" t="n"/>
      <c r="B255" s="15" t="n"/>
      <c r="C255" s="15" t="n"/>
      <c r="D255" s="17" t="n"/>
      <c r="E255" s="15" t="n"/>
      <c r="F255" s="15" t="n"/>
      <c r="G255" s="12">
        <f>IF(A255="","",MONTH(A255))</f>
        <v/>
      </c>
    </row>
    <row r="256">
      <c r="A256" s="18" t="n"/>
      <c r="B256" s="15" t="n"/>
      <c r="C256" s="15" t="n"/>
      <c r="D256" s="17" t="n"/>
      <c r="E256" s="15" t="n"/>
      <c r="F256" s="15" t="n"/>
      <c r="G256" s="12">
        <f>IF(A256="","",MONTH(A256))</f>
        <v/>
      </c>
    </row>
    <row r="257">
      <c r="A257" s="18" t="n"/>
      <c r="B257" s="15" t="n"/>
      <c r="C257" s="15" t="n"/>
      <c r="D257" s="17" t="n"/>
      <c r="E257" s="15" t="n"/>
      <c r="F257" s="15" t="n"/>
      <c r="G257" s="12">
        <f>IF(A257="","",MONTH(A257))</f>
        <v/>
      </c>
    </row>
    <row r="258">
      <c r="A258" s="18" t="n"/>
      <c r="B258" s="15" t="n"/>
      <c r="C258" s="15" t="n"/>
      <c r="D258" s="17" t="n"/>
      <c r="E258" s="15" t="n"/>
      <c r="F258" s="15" t="n"/>
      <c r="G258" s="12">
        <f>IF(A258="","",MONTH(A258))</f>
        <v/>
      </c>
    </row>
    <row r="259">
      <c r="A259" s="18" t="n"/>
      <c r="B259" s="15" t="n"/>
      <c r="C259" s="15" t="n"/>
      <c r="D259" s="17" t="n"/>
      <c r="E259" s="15" t="n"/>
      <c r="F259" s="15" t="n"/>
      <c r="G259" s="12">
        <f>IF(A259="","",MONTH(A259))</f>
        <v/>
      </c>
    </row>
    <row r="260">
      <c r="A260" s="18" t="n"/>
      <c r="B260" s="15" t="n"/>
      <c r="C260" s="15" t="n"/>
      <c r="D260" s="17" t="n"/>
      <c r="E260" s="15" t="n"/>
      <c r="F260" s="15" t="n"/>
      <c r="G260" s="12">
        <f>IF(A260="","",MONTH(A260))</f>
        <v/>
      </c>
    </row>
    <row r="261">
      <c r="A261" s="18" t="n"/>
      <c r="B261" s="15" t="n"/>
      <c r="C261" s="15" t="n"/>
      <c r="D261" s="17" t="n"/>
      <c r="E261" s="15" t="n"/>
      <c r="F261" s="15" t="n"/>
      <c r="G261" s="12">
        <f>IF(A261="","",MONTH(A261))</f>
        <v/>
      </c>
    </row>
    <row r="262">
      <c r="A262" s="18" t="n"/>
      <c r="B262" s="15" t="n"/>
      <c r="C262" s="15" t="n"/>
      <c r="D262" s="17" t="n"/>
      <c r="E262" s="15" t="n"/>
      <c r="F262" s="15" t="n"/>
      <c r="G262" s="12">
        <f>IF(A262="","",MONTH(A262))</f>
        <v/>
      </c>
    </row>
    <row r="263">
      <c r="A263" s="18" t="n"/>
      <c r="B263" s="15" t="n"/>
      <c r="C263" s="15" t="n"/>
      <c r="D263" s="17" t="n"/>
      <c r="E263" s="15" t="n"/>
      <c r="F263" s="15" t="n"/>
      <c r="G263" s="12">
        <f>IF(A263="","",MONTH(A263))</f>
        <v/>
      </c>
    </row>
    <row r="264">
      <c r="A264" s="18" t="n"/>
      <c r="B264" s="15" t="n"/>
      <c r="C264" s="15" t="n"/>
      <c r="D264" s="17" t="n"/>
      <c r="E264" s="15" t="n"/>
      <c r="F264" s="15" t="n"/>
      <c r="G264" s="12">
        <f>IF(A264="","",MONTH(A264))</f>
        <v/>
      </c>
    </row>
    <row r="265">
      <c r="A265" s="18" t="n"/>
      <c r="B265" s="15" t="n"/>
      <c r="C265" s="15" t="n"/>
      <c r="D265" s="17" t="n"/>
      <c r="E265" s="15" t="n"/>
      <c r="F265" s="15" t="n"/>
      <c r="G265" s="12">
        <f>IF(A265="","",MONTH(A265))</f>
        <v/>
      </c>
    </row>
    <row r="266">
      <c r="A266" s="18" t="n"/>
      <c r="B266" s="15" t="n"/>
      <c r="C266" s="15" t="n"/>
      <c r="D266" s="17" t="n"/>
      <c r="E266" s="15" t="n"/>
      <c r="F266" s="15" t="n"/>
      <c r="G266" s="12">
        <f>IF(A266="","",MONTH(A266))</f>
        <v/>
      </c>
    </row>
    <row r="267">
      <c r="A267" s="18" t="n"/>
      <c r="B267" s="15" t="n"/>
      <c r="C267" s="15" t="n"/>
      <c r="D267" s="17" t="n"/>
      <c r="E267" s="15" t="n"/>
      <c r="F267" s="15" t="n"/>
      <c r="G267" s="12">
        <f>IF(A267="","",MONTH(A267))</f>
        <v/>
      </c>
    </row>
    <row r="268">
      <c r="A268" s="18" t="n"/>
      <c r="B268" s="15" t="n"/>
      <c r="C268" s="15" t="n"/>
      <c r="D268" s="17" t="n"/>
      <c r="E268" s="15" t="n"/>
      <c r="F268" s="15" t="n"/>
      <c r="G268" s="12">
        <f>IF(A268="","",MONTH(A268))</f>
        <v/>
      </c>
    </row>
    <row r="269">
      <c r="A269" s="18" t="n"/>
      <c r="B269" s="15" t="n"/>
      <c r="C269" s="15" t="n"/>
      <c r="D269" s="17" t="n"/>
      <c r="E269" s="15" t="n"/>
      <c r="F269" s="15" t="n"/>
      <c r="G269" s="12">
        <f>IF(A269="","",MONTH(A269))</f>
        <v/>
      </c>
    </row>
    <row r="270">
      <c r="A270" s="18" t="n"/>
      <c r="B270" s="15" t="n"/>
      <c r="C270" s="15" t="n"/>
      <c r="D270" s="17" t="n"/>
      <c r="E270" s="15" t="n"/>
      <c r="F270" s="15" t="n"/>
      <c r="G270" s="12">
        <f>IF(A270="","",MONTH(A270))</f>
        <v/>
      </c>
    </row>
    <row r="271">
      <c r="A271" s="18" t="n"/>
      <c r="B271" s="15" t="n"/>
      <c r="C271" s="15" t="n"/>
      <c r="D271" s="17" t="n"/>
      <c r="E271" s="15" t="n"/>
      <c r="F271" s="15" t="n"/>
      <c r="G271" s="12">
        <f>IF(A271="","",MONTH(A271))</f>
        <v/>
      </c>
    </row>
    <row r="272">
      <c r="A272" s="18" t="n"/>
      <c r="B272" s="15" t="n"/>
      <c r="C272" s="15" t="n"/>
      <c r="D272" s="17" t="n"/>
      <c r="E272" s="15" t="n"/>
      <c r="F272" s="15" t="n"/>
      <c r="G272" s="12">
        <f>IF(A272="","",MONTH(A272))</f>
        <v/>
      </c>
    </row>
    <row r="273">
      <c r="A273" s="18" t="n"/>
      <c r="B273" s="15" t="n"/>
      <c r="C273" s="15" t="n"/>
      <c r="D273" s="17" t="n"/>
      <c r="E273" s="15" t="n"/>
      <c r="F273" s="15" t="n"/>
      <c r="G273" s="12">
        <f>IF(A273="","",MONTH(A273))</f>
        <v/>
      </c>
    </row>
    <row r="274">
      <c r="A274" s="18" t="n"/>
      <c r="B274" s="15" t="n"/>
      <c r="C274" s="15" t="n"/>
      <c r="D274" s="17" t="n"/>
      <c r="E274" s="15" t="n"/>
      <c r="F274" s="15" t="n"/>
      <c r="G274" s="12">
        <f>IF(A274="","",MONTH(A274))</f>
        <v/>
      </c>
    </row>
    <row r="275">
      <c r="A275" s="18" t="n"/>
      <c r="B275" s="15" t="n"/>
      <c r="C275" s="15" t="n"/>
      <c r="D275" s="17" t="n"/>
      <c r="E275" s="15" t="n"/>
      <c r="F275" s="15" t="n"/>
      <c r="G275" s="12">
        <f>IF(A275="","",MONTH(A275))</f>
        <v/>
      </c>
    </row>
    <row r="276">
      <c r="A276" s="18" t="n"/>
      <c r="B276" s="15" t="n"/>
      <c r="C276" s="15" t="n"/>
      <c r="D276" s="17" t="n"/>
      <c r="E276" s="15" t="n"/>
      <c r="F276" s="15" t="n"/>
      <c r="G276" s="12">
        <f>IF(A276="","",MONTH(A276))</f>
        <v/>
      </c>
    </row>
    <row r="277">
      <c r="A277" s="18" t="n"/>
      <c r="B277" s="15" t="n"/>
      <c r="C277" s="15" t="n"/>
      <c r="D277" s="17" t="n"/>
      <c r="E277" s="15" t="n"/>
      <c r="F277" s="15" t="n"/>
      <c r="G277" s="12">
        <f>IF(A277="","",MONTH(A277))</f>
        <v/>
      </c>
    </row>
    <row r="278">
      <c r="A278" s="18" t="n"/>
      <c r="B278" s="15" t="n"/>
      <c r="C278" s="15" t="n"/>
      <c r="D278" s="17" t="n"/>
      <c r="E278" s="15" t="n"/>
      <c r="F278" s="15" t="n"/>
      <c r="G278" s="12">
        <f>IF(A278="","",MONTH(A278))</f>
        <v/>
      </c>
    </row>
    <row r="279">
      <c r="A279" s="18" t="n"/>
      <c r="B279" s="15" t="n"/>
      <c r="C279" s="15" t="n"/>
      <c r="D279" s="17" t="n"/>
      <c r="E279" s="15" t="n"/>
      <c r="F279" s="15" t="n"/>
      <c r="G279" s="12">
        <f>IF(A279="","",MONTH(A279))</f>
        <v/>
      </c>
    </row>
    <row r="280">
      <c r="A280" s="18" t="n"/>
      <c r="B280" s="15" t="n"/>
      <c r="C280" s="15" t="n"/>
      <c r="D280" s="17" t="n"/>
      <c r="E280" s="15" t="n"/>
      <c r="F280" s="15" t="n"/>
      <c r="G280" s="12">
        <f>IF(A280="","",MONTH(A280))</f>
        <v/>
      </c>
    </row>
    <row r="281">
      <c r="A281" s="18" t="n"/>
      <c r="B281" s="15" t="n"/>
      <c r="C281" s="15" t="n"/>
      <c r="D281" s="17" t="n"/>
      <c r="E281" s="15" t="n"/>
      <c r="F281" s="15" t="n"/>
      <c r="G281" s="12">
        <f>IF(A281="","",MONTH(A281))</f>
        <v/>
      </c>
    </row>
    <row r="282">
      <c r="A282" s="18" t="n"/>
      <c r="B282" s="15" t="n"/>
      <c r="C282" s="15" t="n"/>
      <c r="D282" s="17" t="n"/>
      <c r="E282" s="15" t="n"/>
      <c r="F282" s="15" t="n"/>
      <c r="G282" s="12">
        <f>IF(A282="","",MONTH(A282))</f>
        <v/>
      </c>
    </row>
    <row r="283">
      <c r="A283" s="18" t="n"/>
      <c r="B283" s="15" t="n"/>
      <c r="C283" s="15" t="n"/>
      <c r="D283" s="17" t="n"/>
      <c r="E283" s="15" t="n"/>
      <c r="F283" s="15" t="n"/>
      <c r="G283" s="12">
        <f>IF(A283="","",MONTH(A283))</f>
        <v/>
      </c>
    </row>
    <row r="284">
      <c r="A284" s="18" t="n"/>
      <c r="B284" s="15" t="n"/>
      <c r="C284" s="15" t="n"/>
      <c r="D284" s="17" t="n"/>
      <c r="E284" s="15" t="n"/>
      <c r="F284" s="15" t="n"/>
      <c r="G284" s="12">
        <f>IF(A284="","",MONTH(A284))</f>
        <v/>
      </c>
    </row>
    <row r="285">
      <c r="A285" s="18" t="n"/>
      <c r="B285" s="15" t="n"/>
      <c r="C285" s="15" t="n"/>
      <c r="D285" s="17" t="n"/>
      <c r="E285" s="15" t="n"/>
      <c r="F285" s="15" t="n"/>
      <c r="G285" s="12">
        <f>IF(A285="","",MONTH(A285))</f>
        <v/>
      </c>
    </row>
    <row r="286">
      <c r="A286" s="18" t="n"/>
      <c r="B286" s="15" t="n"/>
      <c r="C286" s="15" t="n"/>
      <c r="D286" s="17" t="n"/>
      <c r="E286" s="15" t="n"/>
      <c r="F286" s="15" t="n"/>
      <c r="G286" s="12">
        <f>IF(A286="","",MONTH(A286))</f>
        <v/>
      </c>
    </row>
    <row r="287">
      <c r="A287" s="18" t="n"/>
      <c r="B287" s="15" t="n"/>
      <c r="C287" s="15" t="n"/>
      <c r="D287" s="17" t="n"/>
      <c r="E287" s="15" t="n"/>
      <c r="F287" s="15" t="n"/>
      <c r="G287" s="12">
        <f>IF(A287="","",MONTH(A287))</f>
        <v/>
      </c>
    </row>
    <row r="288">
      <c r="A288" s="18" t="n"/>
      <c r="B288" s="15" t="n"/>
      <c r="C288" s="15" t="n"/>
      <c r="D288" s="17" t="n"/>
      <c r="E288" s="15" t="n"/>
      <c r="F288" s="15" t="n"/>
      <c r="G288" s="12">
        <f>IF(A288="","",MONTH(A288))</f>
        <v/>
      </c>
    </row>
    <row r="289">
      <c r="A289" s="18" t="n"/>
      <c r="B289" s="15" t="n"/>
      <c r="C289" s="15" t="n"/>
      <c r="D289" s="17" t="n"/>
      <c r="E289" s="15" t="n"/>
      <c r="F289" s="15" t="n"/>
      <c r="G289" s="12">
        <f>IF(A289="","",MONTH(A289))</f>
        <v/>
      </c>
    </row>
    <row r="290">
      <c r="A290" s="18" t="n"/>
      <c r="B290" s="15" t="n"/>
      <c r="C290" s="15" t="n"/>
      <c r="D290" s="17" t="n"/>
      <c r="E290" s="15" t="n"/>
      <c r="F290" s="15" t="n"/>
      <c r="G290" s="12">
        <f>IF(A290="","",MONTH(A290))</f>
        <v/>
      </c>
    </row>
    <row r="291">
      <c r="A291" s="18" t="n"/>
      <c r="B291" s="15" t="n"/>
      <c r="C291" s="15" t="n"/>
      <c r="D291" s="17" t="n"/>
      <c r="E291" s="15" t="n"/>
      <c r="F291" s="15" t="n"/>
      <c r="G291" s="12">
        <f>IF(A291="","",MONTH(A291))</f>
        <v/>
      </c>
    </row>
    <row r="292">
      <c r="A292" s="18" t="n"/>
      <c r="B292" s="15" t="n"/>
      <c r="C292" s="15" t="n"/>
      <c r="D292" s="17" t="n"/>
      <c r="E292" s="15" t="n"/>
      <c r="F292" s="15" t="n"/>
      <c r="G292" s="12">
        <f>IF(A292="","",MONTH(A292))</f>
        <v/>
      </c>
    </row>
    <row r="293">
      <c r="A293" s="18" t="n"/>
      <c r="B293" s="15" t="n"/>
      <c r="C293" s="15" t="n"/>
      <c r="D293" s="17" t="n"/>
      <c r="E293" s="15" t="n"/>
      <c r="F293" s="15" t="n"/>
      <c r="G293" s="12">
        <f>IF(A293="","",MONTH(A293))</f>
        <v/>
      </c>
    </row>
    <row r="294">
      <c r="A294" s="18" t="n"/>
      <c r="B294" s="15" t="n"/>
      <c r="C294" s="15" t="n"/>
      <c r="D294" s="17" t="n"/>
      <c r="E294" s="15" t="n"/>
      <c r="F294" s="15" t="n"/>
      <c r="G294" s="12">
        <f>IF(A294="","",MONTH(A294))</f>
        <v/>
      </c>
    </row>
    <row r="295">
      <c r="A295" s="18" t="n"/>
      <c r="B295" s="15" t="n"/>
      <c r="C295" s="15" t="n"/>
      <c r="D295" s="17" t="n"/>
      <c r="E295" s="15" t="n"/>
      <c r="F295" s="15" t="n"/>
      <c r="G295" s="12">
        <f>IF(A295="","",MONTH(A295))</f>
        <v/>
      </c>
    </row>
    <row r="296">
      <c r="A296" s="18" t="n"/>
      <c r="B296" s="15" t="n"/>
      <c r="C296" s="15" t="n"/>
      <c r="D296" s="17" t="n"/>
      <c r="E296" s="15" t="n"/>
      <c r="F296" s="15" t="n"/>
      <c r="G296" s="12">
        <f>IF(A296="","",MONTH(A296))</f>
        <v/>
      </c>
    </row>
    <row r="297">
      <c r="A297" s="18" t="n"/>
      <c r="B297" s="15" t="n"/>
      <c r="C297" s="15" t="n"/>
      <c r="D297" s="17" t="n"/>
      <c r="E297" s="15" t="n"/>
      <c r="F297" s="15" t="n"/>
      <c r="G297" s="12">
        <f>IF(A297="","",MONTH(A297))</f>
        <v/>
      </c>
    </row>
    <row r="298">
      <c r="A298" s="18" t="n"/>
      <c r="B298" s="15" t="n"/>
      <c r="C298" s="15" t="n"/>
      <c r="D298" s="17" t="n"/>
      <c r="E298" s="15" t="n"/>
      <c r="F298" s="15" t="n"/>
      <c r="G298" s="12">
        <f>IF(A298="","",MONTH(A298))</f>
        <v/>
      </c>
    </row>
    <row r="299">
      <c r="A299" s="18" t="n"/>
      <c r="B299" s="15" t="n"/>
      <c r="C299" s="15" t="n"/>
      <c r="D299" s="17" t="n"/>
      <c r="E299" s="15" t="n"/>
      <c r="F299" s="15" t="n"/>
      <c r="G299" s="12">
        <f>IF(A299="","",MONTH(A299))</f>
        <v/>
      </c>
    </row>
    <row r="300">
      <c r="A300" s="18" t="n"/>
      <c r="B300" s="15" t="n"/>
      <c r="C300" s="15" t="n"/>
      <c r="D300" s="17" t="n"/>
      <c r="E300" s="15" t="n"/>
      <c r="F300" s="15" t="n"/>
      <c r="G300" s="12">
        <f>IF(A300="","",MONTH(A300))</f>
        <v/>
      </c>
    </row>
    <row r="301">
      <c r="A301" s="18" t="n"/>
      <c r="B301" s="15" t="n"/>
      <c r="C301" s="15" t="n"/>
      <c r="D301" s="17" t="n"/>
      <c r="E301" s="15" t="n"/>
      <c r="F301" s="15" t="n"/>
      <c r="G301" s="12">
        <f>IF(A301="","",MONTH(A301))</f>
        <v/>
      </c>
    </row>
    <row r="302">
      <c r="A302" s="18" t="n"/>
      <c r="B302" s="15" t="n"/>
      <c r="C302" s="15" t="n"/>
      <c r="D302" s="17" t="n"/>
      <c r="E302" s="15" t="n"/>
      <c r="F302" s="15" t="n"/>
      <c r="G302" s="12">
        <f>IF(A302="","",MONTH(A302))</f>
        <v/>
      </c>
    </row>
    <row r="303">
      <c r="A303" s="18" t="n"/>
      <c r="B303" s="15" t="n"/>
      <c r="C303" s="15" t="n"/>
      <c r="D303" s="17" t="n"/>
      <c r="E303" s="15" t="n"/>
      <c r="F303" s="15" t="n"/>
      <c r="G303" s="12">
        <f>IF(A303="","",MONTH(A303))</f>
        <v/>
      </c>
    </row>
    <row r="304">
      <c r="A304" s="18" t="n"/>
      <c r="B304" s="15" t="n"/>
      <c r="C304" s="15" t="n"/>
      <c r="D304" s="17" t="n"/>
      <c r="E304" s="15" t="n"/>
      <c r="F304" s="15" t="n"/>
      <c r="G304" s="12">
        <f>IF(A304="","",MONTH(A304))</f>
        <v/>
      </c>
    </row>
  </sheetData>
  <dataValidations count="2">
    <dataValidation sqref="C5:C304" showDropDown="0" showInputMessage="0" showErrorMessage="0" allowBlank="1" type="list">
      <formula1>=Paramètres!$G$4:$G$18</formula1>
    </dataValidation>
    <dataValidation sqref="F5:F30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2026-10-20T22:25:13Z</dcterms:created>
  <dcterms:modified xmlns:dcterms="http://purl.org/dc/terms/" xmlns:xsi="http://www.w3.org/2001/XMLSchema-instance" xsi:type="dcterms:W3CDTF">2026-10-20T22:25:14Z</dcterms:modified>
</cp:coreProperties>
</file>