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</sheets>
  <definedNames>
    <definedName name="_xlnm._FilterDatabase" localSheetId="2" hidden="1">ADHESIONS!$A$4:$AF$5</definedName>
    <definedName name="_xlnm._FilterDatabase" localSheetId="16" hidden="1">JOURNAL!$A$4:$F$5</definedName>
    <definedName name="_xlnm._FilterDatabase" localSheetId="1" hidden="1">MEMBRES!$A$4:$Z$5</definedName>
    <definedName name="_xlnm._FilterDatabase" localSheetId="9" hidden="1">PATRIMOINE!$A$4:$N$5</definedName>
    <definedName name="_xlnm._FilterDatabase" localSheetId="5" hidden="1">PRESENCES!$A$4:$J$5</definedName>
    <definedName name="_xlnm._FilterDatabase" localSheetId="3" hidden="1">SEANCES!$A$4:$M$5</definedName>
    <definedName name="L_APPLICABLE">OFFSET(LISTES!$R$5,0,0,MAX(1,COUNTA(LISTES!$R$5:$R$300)),1)</definedName>
    <definedName name="L_CAT_PAT">OFFSET(LISTES!$O$5,0,0,MAX(1,COUNTA(LISTES!$O$5:$O$300)),1)</definedName>
    <definedName name="L_CATEGORIES">OFFSET(LISTES!$I$5,0,0,MAX(1,COUNTA(LISTES!$I$5:$I$300)),1)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OFFSET(LISTES!$J$5,0,0,MAX(1,COUNTA(LISTES!$J$5:$J$300)),1)</definedName>
    <definedName name="L_ETATS">OFFSET(LISTES!$P$5,0,0,MAX(1,COUNTA(LISTES!$P$5:$P$300)),1)</definedName>
    <definedName name="L_FILTRE_TYPES">OFFSET(LISTES!$S$5,0,0,1+COUNTIF(TYPES_ACTIVITE!$A$5:$A$300,"?*"),1)</definedName>
    <definedName name="L_FONCTIONS">OFFSET(LISTES!$C$5,0,0,MAX(1,COUNTA(LISTES!$C$5:$C$300)),1)</definedName>
    <definedName name="L_MODES">OFFSET(LISTES!$Q$5,0,0,MAX(1,COUNTA(LISTES!$Q$5:$Q$300)),1)</definedName>
    <definedName name="L_OFFICIANTS">OFFSET(LISTES!$K$5,0,0,MAX(1,COUNTA(LISTES!$K$5:$K$300)),1)</definedName>
    <definedName name="L_OUINON">OFFSET(LISTES!$L$5,0,0,MAX(1,COUNTA(LISTES!$L$5:$L$300)),1)</definedName>
    <definedName name="L_OUINONNA">OFFSET(LISTES!$M$5,0,0,MAX(1,COUNTA(LISTES!$M$5:$M$300)),1)</definedName>
    <definedName name="L_PUPITRES">OFFSET(LISTES!$A$5,0,0,MAX(1,COUNTA(LISTES!$A$5:$A$300)),1)</definedName>
    <definedName name="L_ROLES">UTILISATEURS!$B$5:$B$13</definedName>
    <definedName name="L_SEANCES">OFFSET(SEANCES!$A$5,0,0,MAX(1,COUNTA(SEANCES!$A$5:$A$5000)),1)</definedName>
    <definedName name="L_SEXE">OFFSET(LISTES!$G$5,0,0,MAX(1,COUNTA(LISTES!$G$5:$G$300)),1)</definedName>
    <definedName name="L_SITUATIONS">OFFSET(LISTES!$H$5,0,0,MAX(1,COUNTA(LISTES!$H$5:$H$300)),1)</definedName>
    <definedName name="L_STATUTS">OFFSET(LISTES!$D$5,0,0,MAX(1,COUNTA(LISTES!$D$5:$D$300)),1)</definedName>
    <definedName name="L_STATUTS_SEANCE">OFFSET(LISTES!$N$5,0,0,MAX(1,COUNTA(LISTES!$N$5:$N$300)),1)</definedName>
    <definedName name="L_TYPES">OFFSET(TYPES_ACTIVITE!$A$5,0,0,MAX(1,COUNTA(TYPES_ACTIVITE!$A$5:$A$300)),1)</definedName>
    <definedName name="_xlnm.Print_Titles" localSheetId="8">ELECTEURS!$1:$8</definedName>
    <definedName name="_xlnm.Print_Titles" localSheetId="7">FICHE_APPEL!$1:$8</definedName>
  </definedNames>
  <calcPr calcId="124519" fullCalcOnLoad="1"/>
</workbook>
</file>

<file path=xl/sharedStrings.xml><?xml version="1.0" encoding="utf-8"?>
<sst xmlns="http://schemas.openxmlformats.org/spreadsheetml/2006/main" count="762" uniqueCount="422">
  <si>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</si>
  <si>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</si>
  <si>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</si>
  <si>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</si>
  <si>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</si>
  <si>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</si>
  <si>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</si>
  <si>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</si>
  <si>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 xml:space="preserve">  Membres de la chorale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</si>
  <si>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</si>
  <si>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</si>
  <si>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</si>
  <si>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</si>
  <si>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</si>
  <si>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</si>
  <si>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</si>
  <si>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</si>
  <si>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</si>
  <si>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</si>
  <si>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</si>
  <si>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</si>
  <si>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</si>
  <si>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</si>
  <si>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</si>
  <si>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</si>
  <si>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</si>
  <si>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</si>
  <si>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</si>
  <si>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</si>
  <si>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</si>
  <si>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</si>
  <si>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</si>
  <si>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</si>
  <si>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</si>
  <si>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</si>
  <si>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</si>
  <si>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</si>
  <si>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</si>
  <si>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</si>
  <si>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</si>
  <si>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</si>
  <si>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</si>
  <si>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</si>
  <si>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</si>
  <si>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</si>
  <si>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</si>
  <si>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</si>
  <si>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</si>
  <si>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</si>
  <si>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</si>
  <si>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</si>
  <si>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</si>
  <si>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</si>
  <si>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</si>
  <si>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</si>
  <si>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</si>
  <si>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</si>
  <si>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</si>
  <si>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</si>
  <si>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</si>
  <si>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</si>
  <si>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</si>
  <si>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</si>
  <si>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</si>
  <si>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</si>
  <si>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</si>
  <si>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</si>
  <si>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</si>
  <si>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</si>
  <si>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</si>
  <si>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</si>
  <si>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</si>
  <si>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</si>
  <si>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</si>
  <si>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</si>
  <si>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</si>
  <si>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</si>
  <si>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</si>
  <si>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</si>
  <si>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</si>
  <si>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</si>
  <si>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</si>
  <si>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</si>
  <si>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</si>
  <si>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</si>
  <si>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</si>
  <si>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</si>
  <si>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</si>
  <si>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</si>
  <si>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 xml:space="preserve">  Taux de participation</t>
  </si>
  <si>
    <t>Rang</t>
  </si>
  <si>
    <t>P</t>
  </si>
  <si>
    <t>R</t>
  </si>
  <si>
    <t>RX</t>
  </si>
  <si>
    <t>DA</t>
  </si>
  <si>
    <t>AJ</t>
  </si>
  <si>
    <t>ANJ</t>
  </si>
  <si>
    <t>NC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</si>
  <si>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</si>
  <si>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</si>
  <si>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</si>
  <si>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</si>
  <si>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</si>
  <si>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</si>
  <si>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</si>
  <si>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</si>
  <si>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</si>
  <si>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</si>
  <si>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</si>
  <si>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</si>
  <si>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</si>
  <si>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</si>
  <si>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</si>
  <si>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(version de base - complétée au lot 3)</t>
  </si>
  <si>
    <t>Désignation</t>
  </si>
  <si>
    <t>Catégorie</t>
  </si>
  <si>
    <t>Quantité</t>
  </si>
  <si>
    <t>Unité</t>
  </si>
  <si>
    <t>Date d'acquisition</t>
  </si>
  <si>
    <t>Mode d'acquisition</t>
  </si>
  <si>
    <t>Origine / Donateur</t>
  </si>
  <si>
    <t>Valeur unitaire (FCFA)</t>
  </si>
  <si>
    <t>Valeur totale (FCFA)</t>
  </si>
  <si>
    <t>État</t>
  </si>
  <si>
    <t>Localisation</t>
  </si>
  <si>
    <t>Gardien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</si>
  <si>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</si>
  <si>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</si>
  <si>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</si>
  <si>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</si>
  <si>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</si>
  <si>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</si>
  <si>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</si>
  <si>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</si>
  <si>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</si>
  <si>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</si>
  <si>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</si>
  <si>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</si>
  <si>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</si>
  <si>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</si>
  <si>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</si>
  <si>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</si>
  <si>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</si>
  <si>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</si>
  <si>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</si>
  <si>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</si>
  <si>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</si>
  <si>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</si>
  <si>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</si>
  <si>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</si>
  <si>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</si>
  <si>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</si>
  <si>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</si>
  <si>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</si>
  <si>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</si>
  <si>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</si>
  <si>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</si>
  <si>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</si>
  <si>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</si>
  <si>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</si>
  <si>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</si>
  <si>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</si>
  <si>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</si>
  <si>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</si>
  <si>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</si>
  <si>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</si>
  <si>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</si>
  <si>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</si>
  <si>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</si>
  <si>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</si>
  <si>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</si>
  <si>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</si>
  <si>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</si>
  <si>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</si>
  <si>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Sécurité et sauvegardes</t>
  </si>
  <si>
    <t>MASQUER_MDP</t>
  </si>
  <si>
    <t>OUI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</si>
  <si>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</si>
  <si>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</si>
  <si>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</si>
  <si>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</si>
  <si>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</si>
  <si>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</si>
  <si>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</si>
  <si>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</si>
  <si>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</si>
  <si>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</si>
  <si>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</si>
  <si>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</si>
  <si>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</si>
  <si>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</si>
  <si>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</si>
  <si>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</si>
  <si>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</si>
  <si>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</si>
  <si>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</si>
  <si>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</si>
  <si>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</si>
  <si>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</si>
  <si>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</si>
  <si>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</si>
  <si>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</si>
  <si>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</si>
  <si>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</si>
  <si>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Soprano</t>
  </si>
  <si>
    <t>Alto</t>
  </si>
  <si>
    <t>Ténor</t>
  </si>
  <si>
    <t>Basse</t>
  </si>
  <si>
    <t>Instrumentiste</t>
  </si>
  <si>
    <t>Direction (maître de chant)</t>
  </si>
  <si>
    <t>Commission</t>
  </si>
  <si>
    <t>Organisation</t>
  </si>
  <si>
    <t>Intercession</t>
  </si>
  <si>
    <t>Musicale</t>
  </si>
  <si>
    <t>Discipline</t>
  </si>
  <si>
    <t>Recettes</t>
  </si>
  <si>
    <t>Matériels</t>
  </si>
  <si>
    <t>Culturelle</t>
  </si>
  <si>
    <t>Sociale</t>
  </si>
  <si>
    <t>Cuisine</t>
  </si>
  <si>
    <t>Réflexion</t>
  </si>
  <si>
    <t>1er Responsable</t>
  </si>
  <si>
    <t>Vice-Responsable</t>
  </si>
  <si>
    <t>Secrétaire Général</t>
  </si>
  <si>
    <t>Secrétaire Général Adjoint</t>
  </si>
  <si>
    <t>Secrétaire aux Finances</t>
  </si>
  <si>
    <t>Secrétaire aux Patrimoines</t>
  </si>
  <si>
    <t>Secrétaire chargé à l'Évangélisation et Mission</t>
  </si>
  <si>
    <t>En observation</t>
  </si>
  <si>
    <t>Choriste confirmé</t>
  </si>
  <si>
    <t>Refroidi</t>
  </si>
  <si>
    <t>Suspendu</t>
  </si>
  <si>
    <t>Exclu temporaire</t>
  </si>
  <si>
    <t>Démissionnaire</t>
  </si>
  <si>
    <t>Exclu définitif</t>
  </si>
  <si>
    <t>Transféré</t>
  </si>
  <si>
    <t>Décédé</t>
  </si>
  <si>
    <t>Non retenu</t>
  </si>
  <si>
    <t>Pointage</t>
  </si>
  <si>
    <t>NON</t>
  </si>
  <si>
    <t>Code par défaut</t>
  </si>
  <si>
    <t>F</t>
  </si>
  <si>
    <t>M</t>
  </si>
  <si>
    <t>Célibataire</t>
  </si>
  <si>
    <t>Marié(e)</t>
  </si>
  <si>
    <t>Fiancé(e)</t>
  </si>
  <si>
    <t>Veuf(ve)</t>
  </si>
  <si>
    <t>Divorcé(e)</t>
  </si>
  <si>
    <t>Baptisé - nouveau membre</t>
  </si>
  <si>
    <t>Catéchumène (après baptême)</t>
  </si>
  <si>
    <t>Transfert d'une autre chorale EEC</t>
  </si>
  <si>
    <t>Confirmer</t>
  </si>
  <si>
    <t>Prolonger</t>
  </si>
  <si>
    <t>Refuser</t>
  </si>
  <si>
    <t>Oui/Non</t>
  </si>
  <si>
    <t>Oui/Non/NA</t>
  </si>
  <si>
    <t>N/A</t>
  </si>
  <si>
    <t>Statut de séance</t>
  </si>
  <si>
    <t>Prévue</t>
  </si>
  <si>
    <t>Tenue</t>
  </si>
  <si>
    <t>Annulée</t>
  </si>
  <si>
    <t>Catégorie de patrimoine</t>
  </si>
  <si>
    <t>Administration</t>
  </si>
  <si>
    <t>Matériel de musique</t>
  </si>
  <si>
    <t>Informatique</t>
  </si>
  <si>
    <t>Mobilier</t>
  </si>
  <si>
    <t>Cuisine et kit de sortie</t>
  </si>
  <si>
    <t>Tenues et textiles</t>
  </si>
  <si>
    <t>Immobilier</t>
  </si>
  <si>
    <t>État du bien</t>
  </si>
  <si>
    <t>Neuf</t>
  </si>
  <si>
    <t>Bon</t>
  </si>
  <si>
    <t>Usé</t>
  </si>
  <si>
    <t>À réparer</t>
  </si>
  <si>
    <t>Hors service</t>
  </si>
  <si>
    <t>Perdu</t>
  </si>
  <si>
    <t>Volé</t>
  </si>
  <si>
    <t>Cédé</t>
  </si>
  <si>
    <t>Achat</t>
  </si>
  <si>
    <t>Don</t>
  </si>
  <si>
    <t>Legs</t>
  </si>
  <si>
    <t>Kit nouveau choriste</t>
  </si>
  <si>
    <t>Fabrication</t>
  </si>
  <si>
    <t>Autre</t>
  </si>
  <si>
    <t>Applicable à</t>
  </si>
  <si>
    <t>TRANSFERT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</si>
  <si>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</si>
  <si>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</si>
  <si>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</si>
  <si>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</si>
  <si>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</si>
  <si>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REP</t>
  </si>
  <si>
    <t>Répétition</t>
  </si>
  <si>
    <t>MER;SAM</t>
  </si>
  <si>
    <t>18:00</t>
  </si>
  <si>
    <t>20:30</t>
  </si>
  <si>
    <t>CULTE</t>
  </si>
  <si>
    <t>Culte</t>
  </si>
  <si>
    <t>DIM</t>
  </si>
  <si>
    <t>EVANG</t>
  </si>
  <si>
    <t>Sortie d'évangélisation</t>
  </si>
  <si>
    <t>VEIL</t>
  </si>
  <si>
    <t>Veillée de prière</t>
  </si>
  <si>
    <t>REUN</t>
  </si>
  <si>
    <t>Réunion / Assemblée générale</t>
  </si>
  <si>
    <t>ETUDE</t>
  </si>
  <si>
    <t>Étude biblique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</si>
  <si>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</si>
  <si>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</si>
  <si>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</si>
  <si>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</si>
  <si>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</si>
  <si>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</si>
  <si>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</si>
  <si>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</si>
  <si>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</si>
  <si>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</si>
  <si>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</si>
  <si>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</si>
  <si>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</si>
  <si>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</si>
  <si>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</si>
  <si>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</si>
  <si>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</si>
  <si>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</si>
  <si>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</si>
  <si>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</si>
  <si>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</si>
  <si>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</si>
  <si>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</si>
  <si>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</si>
  <si>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</si>
  <si>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</si>
  <si>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</si>
  <si>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</si>
  <si>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</si>
  <si>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Chaise plastique</t>
  </si>
  <si>
    <t>Kit de table</t>
  </si>
  <si>
    <t>Gobelet</t>
  </si>
  <si>
    <t>Fourchette</t>
  </si>
  <si>
    <t>Cuillère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</si>
  <si>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</si>
  <si>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</si>
  <si>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</si>
  <si>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</si>
  <si>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</si>
  <si>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</si>
  <si>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</si>
  <si>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</si>
  <si>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</si>
  <si>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</si>
  <si>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</si>
  <si>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</si>
  <si>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</si>
  <si>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</si>
  <si>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</si>
  <si>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</si>
  <si>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</si>
  <si>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</si>
  <si>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</si>
  <si>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</si>
  <si>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</si>
  <si>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</si>
  <si>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</si>
  <si>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 xml:space="preserve">  Journal des actions</t>
  </si>
  <si>
    <t>Date et heure</t>
  </si>
  <si>
    <t>Feuille</t>
  </si>
  <si>
    <t>Action</t>
  </si>
  <si>
    <t>Détail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</si>
  <si>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</si>
  <si>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</si>
  <si>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</si>
  <si>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</si>
  <si>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</si>
  <si>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</si>
  <si>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</si>
  <si>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</si>
  <si>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</si>
  <si>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</si>
  <si>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</si>
  <si>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</si>
  <si>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</si>
  <si>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</si>
  <si>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</si>
  <si>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</si>
  <si>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SOCIAL</t>
  </si>
  <si>
    <t>Caisse sociale (lot 2)</t>
  </si>
  <si>
    <t>PATRIMOINE</t>
  </si>
  <si>
    <t>Patrimoine, prêts et locations</t>
  </si>
  <si>
    <t>DISCIPLINE</t>
  </si>
  <si>
    <t>Discipline et sanctions (lot 4)</t>
  </si>
  <si>
    <t>PLANNING</t>
  </si>
  <si>
    <t>Planning des activités (lot 4)</t>
  </si>
  <si>
    <t>MANDATS</t>
  </si>
  <si>
    <t>Mandats, élections, liste électorale</t>
  </si>
  <si>
    <t>CANTIQUES</t>
  </si>
  <si>
    <t>Cantiques et vie spirituelle (lot 4)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</si>
  <si>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</si>
  <si>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</si>
  <si>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</si>
  <si>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</si>
  <si>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</si>
  <si>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</si>
  <si>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</si>
  <si>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75F8D4F7C8FC8EEB</t>
  </si>
  <si>
    <t>D4F3CC49AFAF3F3BEF5D2B45153C082C0F0A38120108882869FD2F75C69FD905</t>
  </si>
  <si>
    <t>077ABA3ECC489C62</t>
  </si>
  <si>
    <t>2AFC2722D67DCB06FE70EE3E4D0A820C1B60D57F16DDAB3F582B24BBFAC313BE</t>
  </si>
  <si>
    <t>E5EAE4C37575E68F</t>
  </si>
  <si>
    <t>A9F50DDD0FF47E7768A9A63E60548BDE5D86C166EE41A3CD1E08D22FFF3232D0</t>
  </si>
  <si>
    <t>2226EDE1C29B631E</t>
  </si>
  <si>
    <t>8CBF65F44A6BAB57646E0ACF4C975C0EE4547F39BF2DCC27BB01AAF09C7E9E5E</t>
  </si>
  <si>
    <t>BD1739ADB9DDBBEE</t>
  </si>
  <si>
    <t>2D141FEF41CCFF6824EF00623EED355ED546601D719BFE97FA644C7ADB14832F</t>
  </si>
  <si>
    <t>B6C2F64D32EFC7CF</t>
  </si>
  <si>
    <t>D30BB9E1043DC2BF1BF43B266A0374B8F9C5D547E394A3509598C5E165737669</t>
  </si>
  <si>
    <t>FC5EF8C2E314DEEA</t>
  </si>
  <si>
    <t>F85064A9C4D2F6DF6DBD53F247C470FD8EC7867C025D072F09E10B5C17DE873F</t>
  </si>
  <si>
    <t>805AB9EA68D2B270</t>
  </si>
  <si>
    <t>C0D8A8A62379F51329C624CE303CB9BEB0D904D00FC5ED2BBF04BC2A98B4EFCC</t>
  </si>
  <si>
    <t>2D015FEAB539DF16</t>
  </si>
  <si>
    <t>7CEFF3320541031EEAADC6F9135332D7C60344EAAA9F833B28EBBC8158035838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</si>
</sst>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3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3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4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</row>
    <row r="6" spans="1:13">
      <c r="B6" s="6" t="s">
        <v>2</v>
      </c>
    </row>
    <row r="7" spans="1:13">
      <c r="B7" s="7" t="s">
        <v>3</v>
      </c>
      <c r="D7" s="8"/>
      <c r="E7" s="8"/>
      <c r="F7" s="8"/>
    </row>
    <row r="8" spans="1:13">
      <c r="B8" s="7" t="s">
        <v>4</v>
      </c>
      <c r="D8" s="9" t="s">
        <v>5</v>
      </c>
    </row>
    <row r="9" spans="1:13">
      <c r="B9" s="6" t="s">
        <v>6</v>
      </c>
    </row>
    <row r="33" spans="2:2">
      <c r="B33" s="10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9" customWidth="1"/>
    <col min="2" max="2" width="18.7109375" style="9" customWidth="1"/>
    <col min="3" max="3" width="20.7109375" style="9" customWidth="1"/>
    <col min="4" max="4" width="6.7109375" style="9" customWidth="1"/>
    <col min="5" max="5" width="12.7109375" style="11" customWidth="1"/>
    <col min="6" max="6" width="15.7109375" style="9" customWidth="1"/>
    <col min="7" max="8" width="14.7109375" style="9" customWidth="1"/>
    <col min="9" max="10" width="20.7109375" style="9" customWidth="1"/>
    <col min="11" max="11" width="14.7109375" style="9" customWidth="1"/>
    <col min="12" max="12" width="18.7109375" style="9" customWidth="1"/>
    <col min="13" max="13" width="12.7109375" style="11" customWidth="1"/>
    <col min="14" max="14" width="18.7109375" style="9" customWidth="1"/>
    <col min="15" max="16" width="12.7109375" style="11" customWidth="1"/>
    <col min="17" max="18" width="13.7109375" style="9" customWidth="1"/>
    <col min="19" max="19" width="18.7109375" style="9" customWidth="1"/>
    <col min="20" max="20" width="22.7109375" style="9" customWidth="1"/>
    <col min="21" max="21" width="14.7109375" style="9" customWidth="1"/>
    <col min="22" max="22" width="18.7109375" style="9" customWidth="1"/>
    <col min="23" max="23" width="9.7109375" style="12" customWidth="1"/>
    <col min="24" max="24" width="17.7109375" style="9" customWidth="1"/>
    <col min="25" max="25" width="12.7109375" style="11" customWidth="1"/>
    <col min="26" max="26" width="30.7109375" style="9" customWidth="1"/>
  </cols>
  <sheetData>
    <row r="1" spans="1:26" ht="30" customHeight="1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9</v>
      </c>
      <c r="B4" s="14" t="s">
        <v>10</v>
      </c>
      <c r="C4" s="14" t="s">
        <v>11</v>
      </c>
      <c r="D4" s="14" t="s">
        <v>12</v>
      </c>
      <c r="E4" s="14" t="s">
        <v>13</v>
      </c>
      <c r="F4" s="14" t="s">
        <v>14</v>
      </c>
      <c r="G4" s="14" t="s">
        <v>15</v>
      </c>
      <c r="H4" s="14" t="s">
        <v>16</v>
      </c>
      <c r="I4" s="14" t="s">
        <v>17</v>
      </c>
      <c r="J4" s="14" t="s">
        <v>18</v>
      </c>
      <c r="K4" s="14" t="s">
        <v>19</v>
      </c>
      <c r="L4" s="14" t="s">
        <v>20</v>
      </c>
      <c r="M4" s="14" t="s">
        <v>21</v>
      </c>
      <c r="N4" s="14" t="s">
        <v>22</v>
      </c>
      <c r="O4" s="14" t="s">
        <v>23</v>
      </c>
      <c r="P4" s="14" t="s">
        <v>24</v>
      </c>
      <c r="Q4" s="14" t="s">
        <v>25</v>
      </c>
      <c r="R4" s="14" t="s">
        <v>26</v>
      </c>
      <c r="S4" s="14" t="s">
        <v>27</v>
      </c>
      <c r="T4" s="14" t="s">
        <v>28</v>
      </c>
      <c r="U4" s="14" t="s">
        <v>29</v>
      </c>
      <c r="V4" s="14" t="s">
        <v>30</v>
      </c>
      <c r="W4" s="14" t="s">
        <v>31</v>
      </c>
      <c r="X4" s="14" t="s">
        <v>32</v>
      </c>
      <c r="Y4" s="14" t="s">
        <v>33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9" customWidth="1"/>
    <col min="3" max="3" width="24.7109375" style="9" customWidth="1"/>
    <col min="4" max="4" width="22.7109375" style="9" customWidth="1"/>
    <col min="5" max="6" width="12.7109375" style="11" customWidth="1"/>
    <col min="7" max="7" width="10.7109375" style="12" customWidth="1"/>
    <col min="8" max="8" width="10.7109375" style="15" customWidth="1"/>
    <col min="9" max="22" width="11.7109375" style="9" customWidth="1"/>
    <col min="23" max="23" width="0" hidden="1" customWidth="1"/>
    <col min="24" max="24" width="30.7109375" style="9" customWidth="1"/>
    <col min="25" max="25" width="26.7109375" style="9" customWidth="1"/>
    <col min="26" max="26" width="12.7109375" style="9" customWidth="1"/>
    <col min="27" max="27" width="24.7109375" style="9" customWidth="1"/>
    <col min="28" max="28" width="13.7109375" style="11" customWidth="1"/>
    <col min="29" max="29" width="12.7109375" style="11" customWidth="1"/>
    <col min="30" max="30" width="16.7109375" style="9" customWidth="1"/>
    <col min="31" max="31" width="9.7109375" style="9" customWidth="1"/>
    <col min="32" max="32" width="26.7109375" style="9" customWidth="1"/>
  </cols>
  <sheetData>
    <row r="1" spans="1:32" ht="30" customHeight="1">
      <c r="A1" s="13" t="s">
        <v>35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22" customHeight="1"/>
    <row r="3" spans="1:32" ht="12" customHeight="1"/>
    <row r="4" spans="1:32" ht="34" customHeight="1">
      <c r="A4" s="14" t="s">
        <v>36</v>
      </c>
      <c r="B4" s="14" t="s">
        <v>9</v>
      </c>
      <c r="C4" s="14" t="s">
        <v>37</v>
      </c>
      <c r="D4" s="14" t="s">
        <v>38</v>
      </c>
      <c r="E4" s="14" t="s">
        <v>39</v>
      </c>
      <c r="F4" s="14" t="s">
        <v>40</v>
      </c>
      <c r="G4" s="14" t="s">
        <v>41</v>
      </c>
      <c r="H4" s="14" t="s">
        <v>42</v>
      </c>
      <c r="I4" s="14" t="s">
        <v>43</v>
      </c>
      <c r="J4" s="14" t="s">
        <v>44</v>
      </c>
      <c r="K4" s="14" t="s">
        <v>45</v>
      </c>
      <c r="L4" s="14" t="s">
        <v>46</v>
      </c>
      <c r="M4" s="14" t="s">
        <v>47</v>
      </c>
      <c r="N4" s="14" t="s">
        <v>48</v>
      </c>
      <c r="O4" s="14" t="s">
        <v>49</v>
      </c>
      <c r="P4" s="14" t="s">
        <v>50</v>
      </c>
      <c r="Q4" s="14" t="s">
        <v>51</v>
      </c>
      <c r="R4" s="14" t="s">
        <v>52</v>
      </c>
      <c r="S4" s="14" t="s">
        <v>53</v>
      </c>
      <c r="T4" s="14" t="s">
        <v>54</v>
      </c>
      <c r="U4" s="14" t="s">
        <v>55</v>
      </c>
      <c r="V4" s="14" t="s">
        <v>56</v>
      </c>
      <c r="W4" s="14" t="s">
        <v>57</v>
      </c>
      <c r="X4" s="14" t="s">
        <v>58</v>
      </c>
      <c r="Y4" s="14" t="s">
        <v>59</v>
      </c>
      <c r="Z4" s="14" t="s">
        <v>60</v>
      </c>
      <c r="AA4" s="14" t="s">
        <v>61</v>
      </c>
      <c r="AB4" s="14" t="s">
        <v>62</v>
      </c>
      <c r="AC4" s="14" t="s">
        <v>24</v>
      </c>
      <c r="AD4" s="14" t="s">
        <v>63</v>
      </c>
      <c r="AE4" s="14" t="s">
        <v>64</v>
      </c>
      <c r="AF4" s="14" t="s">
        <v>65</v>
      </c>
    </row>
  </sheetData>
  <sheetProtection password="B542" sheet="1" objects="1" scenarios="1" formatColumns="0" formatRows="0" autoFilter="0"/>
  <autoFilter ref="A4:AF5"/>
  <mergeCells count="1">
    <mergeCell ref="A1:AF1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10.7109375" style="9" customWidth="1"/>
    <col min="4" max="4" width="8.7109375" style="9" customWidth="1"/>
    <col min="5" max="5" width="24.7109375" style="9" customWidth="1"/>
    <col min="6" max="7" width="9.7109375" style="16" customWidth="1"/>
    <col min="8" max="8" width="18.7109375" style="9" customWidth="1"/>
    <col min="9" max="9" width="30.7109375" style="9" customWidth="1"/>
    <col min="10" max="10" width="10.7109375" style="9" customWidth="1"/>
    <col min="11" max="11" width="8.7109375" style="9" customWidth="1"/>
    <col min="12" max="12" width="9.7109375" style="12" customWidth="1"/>
    <col min="13" max="13" width="10.7109375" style="15" customWidth="1"/>
  </cols>
  <sheetData>
    <row r="1" spans="1:13" ht="30" customHeight="1">
      <c r="A1" s="13" t="s">
        <v>66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2" customHeight="1"/>
    <row r="3" spans="1:13" ht="12" customHeight="1"/>
    <row r="4" spans="1:13" ht="34" customHeight="1">
      <c r="A4" s="14" t="s">
        <v>67</v>
      </c>
      <c r="B4" s="14" t="s">
        <v>68</v>
      </c>
      <c r="C4" s="14" t="s">
        <v>69</v>
      </c>
      <c r="D4" s="14" t="s">
        <v>70</v>
      </c>
      <c r="E4" s="14" t="s">
        <v>71</v>
      </c>
      <c r="F4" s="14" t="s">
        <v>72</v>
      </c>
      <c r="G4" s="14" t="s">
        <v>73</v>
      </c>
      <c r="H4" s="14" t="s">
        <v>74</v>
      </c>
      <c r="I4" s="14" t="s">
        <v>75</v>
      </c>
      <c r="J4" s="14" t="s">
        <v>32</v>
      </c>
      <c r="K4" s="14" t="s">
        <v>76</v>
      </c>
      <c r="L4" s="14" t="s">
        <v>77</v>
      </c>
      <c r="M4" s="14" t="s">
        <v>78</v>
      </c>
    </row>
  </sheetData>
  <sheetProtection password="B542" sheet="1" objects="1" scenarios="1" formatColumns="0" formatRows="0" autoFilter="0"/>
  <autoFilter ref="A4:M5"/>
  <mergeCells count="1">
    <mergeCell ref="A1:M1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30.7109375" style="9" customWidth="1"/>
    <col min="3" max="3" width="14.7109375" style="9" customWidth="1"/>
    <col min="4" max="4" width="8.7109375" style="12" customWidth="1"/>
    <col min="5" max="5" width="34.7109375" style="9" customWidth="1"/>
    <col min="6" max="6" width="18.7109375" style="9" customWidth="1"/>
    <col min="8" max="8" width="20.7109375" style="5" customWidth="1"/>
  </cols>
  <sheetData>
    <row r="1" spans="1:8" ht="30" customHeight="1">
      <c r="A1" s="13" t="s">
        <v>79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82</v>
      </c>
      <c r="C5" s="17"/>
    </row>
    <row r="6" spans="1:8">
      <c r="B6" s="9"/>
      <c r="C6" s="18" t="s">
        <v>83</v>
      </c>
    </row>
    <row r="7" spans="1:8">
      <c r="A7" s="5" t="s">
        <v>84</v>
      </c>
    </row>
    <row r="8" spans="1:8">
      <c r="A8" s="14" t="s">
        <v>9</v>
      </c>
      <c r="B8" s="14" t="s">
        <v>37</v>
      </c>
      <c r="C8" s="14" t="s">
        <v>25</v>
      </c>
      <c r="D8" s="14" t="s">
        <v>80</v>
      </c>
      <c r="E8" s="14" t="s">
        <v>61</v>
      </c>
      <c r="F8" s="14" t="s">
        <v>81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8.7109375" style="9" customWidth="1"/>
    <col min="4" max="4" width="11.7109375" style="9" customWidth="1"/>
    <col min="5" max="5" width="26.7109375" style="9" customWidth="1"/>
    <col min="6" max="6" width="7.7109375" style="9" customWidth="1"/>
    <col min="7" max="7" width="26.7109375" style="9" customWidth="1"/>
    <col min="8" max="8" width="11.7109375" style="19" customWidth="1"/>
    <col min="9" max="9" width="16.7109375" style="20" customWidth="1"/>
    <col min="10" max="10" width="22.7109375" style="9" customWidth="1"/>
  </cols>
  <sheetData>
    <row r="1" spans="1:10" ht="30" customHeight="1">
      <c r="A1" s="13" t="s">
        <v>85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2" customHeight="1"/>
    <row r="3" spans="1:10" ht="12" customHeight="1"/>
    <row r="4" spans="1:10" ht="34" customHeight="1">
      <c r="A4" s="14" t="s">
        <v>67</v>
      </c>
      <c r="B4" s="14" t="s">
        <v>68</v>
      </c>
      <c r="C4" s="14" t="s">
        <v>70</v>
      </c>
      <c r="D4" s="14" t="s">
        <v>9</v>
      </c>
      <c r="E4" s="14" t="s">
        <v>37</v>
      </c>
      <c r="F4" s="14" t="s">
        <v>80</v>
      </c>
      <c r="G4" s="14" t="s">
        <v>61</v>
      </c>
      <c r="H4" s="14" t="s">
        <v>86</v>
      </c>
      <c r="I4" s="14" t="s">
        <v>87</v>
      </c>
      <c r="J4" s="14" t="s">
        <v>88</v>
      </c>
    </row>
  </sheetData>
  <sheetProtection password="B542" sheet="1" objects="1" scenarios="1" formatColumns="0" formatRows="0" autoFilter="0"/>
  <autoFilter ref="A4:J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2" customWidth="1"/>
    <col min="2" max="2" width="11.7109375" style="9" customWidth="1"/>
    <col min="3" max="3" width="28.7109375" style="9" customWidth="1"/>
    <col min="4" max="4" width="13.7109375" style="9" customWidth="1"/>
    <col min="5" max="5" width="16.7109375" style="9" customWidth="1"/>
    <col min="6" max="6" width="10.7109375" style="12" customWidth="1"/>
    <col min="7" max="13" width="5.7109375" style="12" customWidth="1"/>
    <col min="14" max="14" width="6.7109375" style="12" customWidth="1"/>
    <col min="15" max="15" width="8.7109375" style="15" customWidth="1"/>
    <col min="16" max="16" width="12.7109375" style="9" customWidth="1"/>
    <col min="17" max="17" width="3.7109375" customWidth="1"/>
  </cols>
  <sheetData>
    <row r="1" spans="1:16" ht="30" customHeight="1">
      <c r="A1" s="13" t="s">
        <v>89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101</v>
      </c>
      <c r="C5" s="21"/>
      <c r="D5" s="7" t="s">
        <v>102</v>
      </c>
      <c r="E5" s="21"/>
      <c r="F5" s="7" t="s">
        <v>103</v>
      </c>
      <c r="G5" s="17" t="s">
        <v>104</v>
      </c>
    </row>
    <row r="6" spans="1:16">
      <c r="B6" s="7" t="s">
        <v>105</v>
      </c>
      <c r="C6" s="22"/>
      <c r="D6" s="7" t="s">
        <v>106</v>
      </c>
    </row>
    <row r="7" spans="1:16">
      <c r="A7" s="5" t="s">
        <v>107</v>
      </c>
    </row>
    <row r="8" spans="1:16">
      <c r="A8" s="14" t="s">
        <v>90</v>
      </c>
      <c r="B8" s="14" t="s">
        <v>9</v>
      </c>
      <c r="C8" s="14" t="s">
        <v>37</v>
      </c>
      <c r="D8" s="14" t="s">
        <v>25</v>
      </c>
      <c r="E8" s="14" t="s">
        <v>32</v>
      </c>
      <c r="F8" s="14" t="s">
        <v>41</v>
      </c>
      <c r="G8" s="14" t="s">
        <v>91</v>
      </c>
      <c r="H8" s="14" t="s">
        <v>92</v>
      </c>
      <c r="I8" s="14" t="s">
        <v>93</v>
      </c>
      <c r="J8" s="14" t="s">
        <v>94</v>
      </c>
      <c r="K8" s="14" t="s">
        <v>95</v>
      </c>
      <c r="L8" s="14" t="s">
        <v>96</v>
      </c>
      <c r="M8" s="14" t="s">
        <v>97</v>
      </c>
      <c r="N8" s="14" t="s">
        <v>98</v>
      </c>
      <c r="O8" s="14" t="s">
        <v>99</v>
      </c>
      <c r="P8" s="14" t="s">
        <v>100</v>
      </c>
    </row>
  </sheetData>
  <sheetProtection password="B542" sheet="1" objects="1" scenarios="1" formatColumns="0" formatRows="0" autoFilter="0"/>
  <mergeCells count="1">
    <mergeCell ref="A1:P1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8" width="6.7109375" style="12" customWidth="1"/>
    <col min="9" max="9" width="30.7109375" style="9" customWidth="1"/>
  </cols>
  <sheetData>
    <row r="1" spans="1:9" ht="30" customHeight="1">
      <c r="A1" s="13" t="s">
        <v>108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82</v>
      </c>
      <c r="C5" s="17"/>
    </row>
    <row r="8" spans="1:9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91</v>
      </c>
      <c r="F8" s="14" t="s">
        <v>92</v>
      </c>
      <c r="G8" s="14" t="s">
        <v>95</v>
      </c>
      <c r="H8" s="14" t="s">
        <v>96</v>
      </c>
      <c r="I8" s="14" t="s">
        <v>110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5" width="12.7109375" style="11" customWidth="1"/>
    <col min="6" max="6" width="8.7109375" style="15" customWidth="1"/>
    <col min="7" max="7" width="24.7109375" style="9" customWidth="1"/>
  </cols>
  <sheetData>
    <row r="1" spans="1:8" ht="30" customHeight="1">
      <c r="A1" s="13" t="s">
        <v>111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C5" s="18"/>
    </row>
    <row r="6" spans="1:8">
      <c r="C6" s="18"/>
    </row>
    <row r="8" spans="1:8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23</v>
      </c>
      <c r="F8" s="14" t="s">
        <v>99</v>
      </c>
      <c r="G8" s="14" t="s">
        <v>112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N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6.7109375" style="9" customWidth="1"/>
    <col min="3" max="3" width="22.7109375" style="9" customWidth="1"/>
    <col min="4" max="4" width="9.7109375" style="12" customWidth="1"/>
    <col min="5" max="5" width="8.7109375" style="9" customWidth="1"/>
    <col min="6" max="6" width="12.7109375" style="11" customWidth="1"/>
    <col min="7" max="7" width="18.7109375" style="9" customWidth="1"/>
    <col min="8" max="8" width="26.7109375" style="9" customWidth="1"/>
    <col min="9" max="10" width="12.7109375" style="19" customWidth="1"/>
    <col min="11" max="11" width="11.7109375" style="9" customWidth="1"/>
    <col min="12" max="12" width="20.7109375" style="9" customWidth="1"/>
    <col min="13" max="13" width="18.7109375" style="9" customWidth="1"/>
    <col min="14" max="14" width="30.7109375" style="9" customWidth="1"/>
  </cols>
  <sheetData>
    <row r="1" spans="1:14" ht="30" customHeight="1">
      <c r="A1" s="13" t="s">
        <v>113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ht="22" customHeight="1"/>
    <row r="3" spans="1:14" ht="12" customHeight="1"/>
    <row r="4" spans="1:14" ht="34" customHeight="1">
      <c r="A4" s="14" t="s">
        <v>80</v>
      </c>
      <c r="B4" s="14" t="s">
        <v>114</v>
      </c>
      <c r="C4" s="14" t="s">
        <v>115</v>
      </c>
      <c r="D4" s="14" t="s">
        <v>116</v>
      </c>
      <c r="E4" s="14" t="s">
        <v>117</v>
      </c>
      <c r="F4" s="14" t="s">
        <v>118</v>
      </c>
      <c r="G4" s="14" t="s">
        <v>119</v>
      </c>
      <c r="H4" s="14" t="s">
        <v>120</v>
      </c>
      <c r="I4" s="14" t="s">
        <v>121</v>
      </c>
      <c r="J4" s="14" t="s">
        <v>122</v>
      </c>
      <c r="K4" s="14" t="s">
        <v>123</v>
      </c>
      <c r="L4" s="14" t="s">
        <v>124</v>
      </c>
      <c r="M4" s="14" t="s">
        <v>125</v>
      </c>
      <c r="N4" s="14" t="s">
        <v>34</v>
      </c>
    </row>
  </sheetData>
  <sheetProtection password="B542" sheet="1" objects="1" scenarios="1" formatColumns="0" formatRows="0" autoFilter="0"/>
  <autoFilter ref="A4:N5"/>
  <mergeCells count="1">
    <mergeCell ref="A1:N1"/>
  </mergeCells>
  <dataValidations count="3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K5:K3001">
      <formula1>L_ETATS</formula1>
    </dataValidation>
    <dataValidation type="list" errorStyle="warning" allowBlank="1" showInputMessage="1" showErrorMessage="1" error="Valeur hors liste : vérifiez la saisie." sqref="G5:G3001">
      <formula1>L_MODES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4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9" customWidth="1"/>
    <col min="2" max="2" width="46.7109375" style="9" customWidth="1"/>
    <col min="3" max="3" width="90.7109375" style="9" customWidth="1"/>
  </cols>
  <sheetData>
    <row r="1" spans="1:8" ht="30" customHeight="1">
      <c r="A1" s="13" t="s">
        <v>126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22" customHeight="1">
      <c r="A4" s="14" t="s">
        <v>127</v>
      </c>
      <c r="B4" s="14" t="s">
        <v>128</v>
      </c>
      <c r="C4" s="14" t="s">
        <v>129</v>
      </c>
    </row>
    <row r="5" spans="1:8">
      <c r="A5" s="23"/>
      <c r="B5" s="23"/>
      <c r="C5" s="23" t="s">
        <v>130</v>
      </c>
    </row>
    <row r="6" spans="1:8">
      <c r="A6" s="9" t="s">
        <v>131</v>
      </c>
      <c r="B6" s="9" t="s">
        <v>132</v>
      </c>
      <c r="C6" s="18" t="s">
        <v>133</v>
      </c>
    </row>
    <row r="7" spans="1:8">
      <c r="A7" s="9" t="s">
        <v>134</v>
      </c>
      <c r="B7" s="9" t="s">
        <v>135</v>
      </c>
      <c r="C7" s="18" t="s">
        <v>136</v>
      </c>
    </row>
    <row r="8" spans="1:8">
      <c r="A8" s="9" t="s">
        <v>137</v>
      </c>
      <c r="B8" s="9" t="s">
        <v>138</v>
      </c>
      <c r="C8" s="18"/>
    </row>
    <row r="9" spans="1:8">
      <c r="A9" s="9" t="s">
        <v>139</v>
      </c>
      <c r="B9" s="9" t="s">
        <v>140</v>
      </c>
      <c r="C9" s="18"/>
    </row>
    <row r="10" spans="1:8">
      <c r="A10" s="9" t="s">
        <v>141</v>
      </c>
      <c r="B10" s="9" t="s">
        <v>142</v>
      </c>
      <c r="C10" s="18"/>
    </row>
    <row r="11" spans="1:8">
      <c r="A11" s="9" t="s">
        <v>143</v>
      </c>
      <c r="B11" s="9" t="s">
        <v>144</v>
      </c>
      <c r="C11" s="18"/>
    </row>
    <row r="12" spans="1:8">
      <c r="A12" s="9" t="s">
        <v>145</v>
      </c>
      <c r="B12" s="9" t="s">
        <v>146</v>
      </c>
      <c r="C12" s="18"/>
    </row>
    <row r="13" spans="1:8">
      <c r="A13" s="9" t="s">
        <v>147</v>
      </c>
      <c r="B13" s="11">
        <v>32246</v>
      </c>
      <c r="C13" s="18" t="s">
        <v>148</v>
      </c>
    </row>
    <row r="14" spans="1:8">
      <c r="A14" s="23"/>
      <c r="B14" s="23"/>
      <c r="C14" s="23" t="s">
        <v>149</v>
      </c>
    </row>
    <row r="15" spans="1:8">
      <c r="A15" s="9" t="s">
        <v>150</v>
      </c>
      <c r="B15" s="9">
        <v>1</v>
      </c>
      <c r="C15" s="18" t="s">
        <v>151</v>
      </c>
    </row>
    <row r="16" spans="1:8">
      <c r="A16" s="9" t="s">
        <v>152</v>
      </c>
      <c r="B16" s="9" t="s">
        <v>153</v>
      </c>
      <c r="C16" s="18"/>
    </row>
    <row r="17" spans="1:3">
      <c r="A17" s="9" t="s">
        <v>154</v>
      </c>
      <c r="B17" s="9">
        <v>300</v>
      </c>
      <c r="C17" s="18" t="s">
        <v>155</v>
      </c>
    </row>
    <row r="18" spans="1:3">
      <c r="A18" s="23"/>
      <c r="B18" s="23"/>
      <c r="C18" s="23" t="s">
        <v>156</v>
      </c>
    </row>
    <row r="19" spans="1:3">
      <c r="A19" s="9" t="s">
        <v>157</v>
      </c>
      <c r="B19" s="9">
        <v>2</v>
      </c>
      <c r="C19" s="18" t="s">
        <v>158</v>
      </c>
    </row>
    <row r="20" spans="1:3">
      <c r="A20" s="9" t="s">
        <v>159</v>
      </c>
      <c r="B20" s="15">
        <v>0.8</v>
      </c>
      <c r="C20" s="18" t="s">
        <v>160</v>
      </c>
    </row>
    <row r="21" spans="1:3">
      <c r="A21" s="9" t="s">
        <v>161</v>
      </c>
      <c r="B21" s="15">
        <v>0.5</v>
      </c>
      <c r="C21" s="18" t="s">
        <v>162</v>
      </c>
    </row>
    <row r="22" spans="1:3">
      <c r="A22" s="9" t="s">
        <v>163</v>
      </c>
      <c r="B22" s="9">
        <v>3</v>
      </c>
      <c r="C22" s="18" t="s">
        <v>164</v>
      </c>
    </row>
    <row r="23" spans="1:3">
      <c r="A23" s="9" t="s">
        <v>165</v>
      </c>
      <c r="B23" s="15">
        <v>0.6</v>
      </c>
      <c r="C23" s="18" t="s">
        <v>166</v>
      </c>
    </row>
    <row r="24" spans="1:3">
      <c r="A24" s="23"/>
      <c r="B24" s="23"/>
      <c r="C24" s="23" t="s">
        <v>167</v>
      </c>
    </row>
    <row r="25" spans="1:3">
      <c r="A25" s="9" t="s">
        <v>168</v>
      </c>
      <c r="B25" s="9">
        <v>3</v>
      </c>
      <c r="C25" s="18" t="s">
        <v>169</v>
      </c>
    </row>
    <row r="26" spans="1:3">
      <c r="A26" s="9" t="s">
        <v>170</v>
      </c>
      <c r="B26" s="15">
        <v>0.6</v>
      </c>
      <c r="C26" s="18" t="s">
        <v>171</v>
      </c>
    </row>
    <row r="27" spans="1:3">
      <c r="A27" s="9" t="s">
        <v>172</v>
      </c>
      <c r="B27" s="9">
        <v>15</v>
      </c>
      <c r="C27" s="18" t="s">
        <v>173</v>
      </c>
    </row>
    <row r="28" spans="1:3">
      <c r="A28" s="23"/>
      <c r="B28" s="23"/>
      <c r="C28" s="23" t="s">
        <v>174</v>
      </c>
    </row>
    <row r="29" spans="1:3">
      <c r="A29" s="9" t="s">
        <v>175</v>
      </c>
      <c r="B29" s="9" t="s">
        <v>176</v>
      </c>
      <c r="C29" s="18" t="s">
        <v>177</v>
      </c>
    </row>
    <row r="30" spans="1:3">
      <c r="A30" s="9" t="s">
        <v>178</v>
      </c>
      <c r="B30" s="9">
        <v>6</v>
      </c>
      <c r="C30" s="18" t="s">
        <v>179</v>
      </c>
    </row>
    <row r="31" spans="1:3">
      <c r="A31" s="9" t="s">
        <v>180</v>
      </c>
      <c r="B31" s="9">
        <v>7</v>
      </c>
      <c r="C31" s="18" t="s">
        <v>181</v>
      </c>
    </row>
    <row r="32" spans="1:3">
      <c r="A32" s="9" t="s">
        <v>182</v>
      </c>
      <c r="B32" s="9"/>
      <c r="C32" s="18" t="s">
        <v>183</v>
      </c>
    </row>
    <row r="33" spans="1:3">
      <c r="A33" s="9" t="s">
        <v>184</v>
      </c>
      <c r="B33" s="9"/>
      <c r="C33" s="18" t="s">
        <v>185</v>
      </c>
    </row>
    <row r="34" spans="1:3">
      <c r="A34" s="23"/>
      <c r="B34" s="23"/>
      <c r="C34" s="23" t="s">
        <v>186</v>
      </c>
    </row>
    <row r="35" spans="1:3">
      <c r="A35" s="9" t="s">
        <v>187</v>
      </c>
      <c r="B35" s="9" t="s">
        <v>188</v>
      </c>
      <c r="C35" s="18"/>
    </row>
    <row r="36" spans="1:3">
      <c r="A36" s="9" t="s">
        <v>189</v>
      </c>
      <c r="B36" s="9" t="s">
        <v>190</v>
      </c>
      <c r="C36" s="18" t="s">
        <v>191</v>
      </c>
    </row>
    <row r="37" spans="1:3">
      <c r="A37" s="9" t="s">
        <v>192</v>
      </c>
      <c r="B37" s="9" t="s">
        <v>193</v>
      </c>
      <c r="C37" s="18" t="s">
        <v>194</v>
      </c>
    </row>
    <row r="38" spans="1:3">
      <c r="A38" s="9" t="s">
        <v>195</v>
      </c>
      <c r="B38" s="9" t="s">
        <v>196</v>
      </c>
      <c r="C38" s="18" t="s">
        <v>197</v>
      </c>
    </row>
    <row r="39" spans="1:3">
      <c r="A39" s="23"/>
      <c r="B39" s="23"/>
      <c r="C39" s="23" t="s">
        <v>198</v>
      </c>
    </row>
    <row r="40" spans="1:3">
      <c r="A40" s="9" t="s">
        <v>199</v>
      </c>
      <c r="B40" s="9"/>
      <c r="C40" s="18" t="s">
        <v>200</v>
      </c>
    </row>
    <row r="41" spans="1:3">
      <c r="A41" s="9" t="s">
        <v>201</v>
      </c>
      <c r="B41" s="9" t="s">
        <v>176</v>
      </c>
      <c r="C41" s="18" t="s">
        <v>202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S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9" width="18.7109375" style="9" customWidth="1"/>
  </cols>
  <sheetData>
    <row r="1" spans="1:19" ht="30" customHeight="1">
      <c r="A1" s="13" t="s">
        <v>203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ht="22" customHeight="1"/>
    <row r="3" spans="1:19" ht="12" customHeight="1"/>
    <row r="4" spans="1:19" ht="34" customHeight="1">
      <c r="A4" s="14" t="s">
        <v>25</v>
      </c>
      <c r="B4" s="14" t="s">
        <v>210</v>
      </c>
      <c r="C4" s="14" t="s">
        <v>28</v>
      </c>
      <c r="D4" s="14" t="s">
        <v>32</v>
      </c>
      <c r="E4" s="14" t="s">
        <v>238</v>
      </c>
      <c r="F4" s="14" t="s">
        <v>240</v>
      </c>
      <c r="G4" s="14" t="s">
        <v>12</v>
      </c>
      <c r="H4" s="14" t="s">
        <v>29</v>
      </c>
      <c r="I4" s="14" t="s">
        <v>38</v>
      </c>
      <c r="J4" s="14" t="s">
        <v>60</v>
      </c>
      <c r="K4" s="14" t="s">
        <v>63</v>
      </c>
      <c r="L4" s="14" t="s">
        <v>254</v>
      </c>
      <c r="M4" s="14" t="s">
        <v>255</v>
      </c>
      <c r="N4" s="14" t="s">
        <v>257</v>
      </c>
      <c r="O4" s="14" t="s">
        <v>261</v>
      </c>
      <c r="P4" s="14" t="s">
        <v>269</v>
      </c>
      <c r="Q4" s="14" t="s">
        <v>119</v>
      </c>
      <c r="R4" s="14" t="s">
        <v>284</v>
      </c>
      <c r="S4" s="14" t="s">
        <v>286</v>
      </c>
    </row>
    <row r="5" spans="1:19">
      <c r="A5" s="9" t="s">
        <v>204</v>
      </c>
      <c r="B5" s="9" t="s">
        <v>211</v>
      </c>
      <c r="C5" s="9" t="s">
        <v>221</v>
      </c>
      <c r="D5" s="9" t="s">
        <v>228</v>
      </c>
      <c r="E5" s="9" t="s">
        <v>176</v>
      </c>
      <c r="F5" s="9" t="s">
        <v>91</v>
      </c>
      <c r="G5" s="9" t="s">
        <v>241</v>
      </c>
      <c r="H5" s="9" t="s">
        <v>243</v>
      </c>
      <c r="I5" s="9" t="s">
        <v>248</v>
      </c>
      <c r="J5" s="9" t="s">
        <v>251</v>
      </c>
      <c r="K5" s="9" t="s">
        <v>221</v>
      </c>
      <c r="L5" s="9" t="s">
        <v>176</v>
      </c>
      <c r="M5" s="9" t="s">
        <v>176</v>
      </c>
      <c r="N5" s="9" t="s">
        <v>258</v>
      </c>
      <c r="O5" s="9" t="s">
        <v>262</v>
      </c>
      <c r="P5" s="9" t="s">
        <v>270</v>
      </c>
      <c r="Q5" s="9" t="s">
        <v>278</v>
      </c>
      <c r="R5" s="9" t="s">
        <v>104</v>
      </c>
      <c r="S5" s="9" t="s">
        <v>104</v>
      </c>
    </row>
    <row r="6" spans="1:19">
      <c r="A6" s="9" t="s">
        <v>205</v>
      </c>
      <c r="B6" s="9" t="s">
        <v>212</v>
      </c>
      <c r="C6" s="9" t="s">
        <v>222</v>
      </c>
      <c r="D6" s="9" t="s">
        <v>229</v>
      </c>
      <c r="E6" s="9" t="s">
        <v>176</v>
      </c>
      <c r="F6" s="9" t="s">
        <v>91</v>
      </c>
      <c r="G6" s="9" t="s">
        <v>242</v>
      </c>
      <c r="H6" s="9" t="s">
        <v>244</v>
      </c>
      <c r="I6" s="9" t="s">
        <v>249</v>
      </c>
      <c r="J6" s="9" t="s">
        <v>252</v>
      </c>
      <c r="K6" s="9" t="s">
        <v>222</v>
      </c>
      <c r="L6" s="9" t="s">
        <v>239</v>
      </c>
      <c r="M6" s="9" t="s">
        <v>239</v>
      </c>
      <c r="N6" s="9" t="s">
        <v>259</v>
      </c>
      <c r="O6" s="9" t="s">
        <v>263</v>
      </c>
      <c r="P6" s="9" t="s">
        <v>271</v>
      </c>
      <c r="Q6" s="9" t="s">
        <v>279</v>
      </c>
      <c r="R6" s="9" t="s">
        <v>285</v>
      </c>
      <c r="S6" s="9">
        <f>IF(TYPES_ACTIVITE!A5="","",TYPES_ACTIVITE!A5)</f>
        <v/>
      </c>
    </row>
    <row r="7" spans="1:19">
      <c r="A7" s="9" t="s">
        <v>206</v>
      </c>
      <c r="B7" s="9" t="s">
        <v>213</v>
      </c>
      <c r="C7" s="9" t="s">
        <v>223</v>
      </c>
      <c r="D7" s="9" t="s">
        <v>230</v>
      </c>
      <c r="E7" s="9" t="s">
        <v>176</v>
      </c>
      <c r="F7" s="9" t="s">
        <v>91</v>
      </c>
      <c r="H7" s="9" t="s">
        <v>245</v>
      </c>
      <c r="I7" s="9" t="s">
        <v>250</v>
      </c>
      <c r="J7" s="9" t="s">
        <v>253</v>
      </c>
      <c r="M7" s="9" t="s">
        <v>256</v>
      </c>
      <c r="N7" s="9" t="s">
        <v>260</v>
      </c>
      <c r="O7" s="9" t="s">
        <v>264</v>
      </c>
      <c r="P7" s="9" t="s">
        <v>272</v>
      </c>
      <c r="Q7" s="9" t="s">
        <v>280</v>
      </c>
      <c r="S7" s="9">
        <f>IF(TYPES_ACTIVITE!A6="","",TYPES_ACTIVITE!A6)</f>
        <v/>
      </c>
    </row>
    <row r="8" spans="1:19">
      <c r="A8" s="9" t="s">
        <v>207</v>
      </c>
      <c r="B8" s="9" t="s">
        <v>214</v>
      </c>
      <c r="C8" s="9" t="s">
        <v>224</v>
      </c>
      <c r="D8" s="9" t="s">
        <v>231</v>
      </c>
      <c r="E8" s="9" t="s">
        <v>176</v>
      </c>
      <c r="F8" s="9" t="s">
        <v>97</v>
      </c>
      <c r="H8" s="9" t="s">
        <v>246</v>
      </c>
      <c r="O8" s="9" t="s">
        <v>265</v>
      </c>
      <c r="P8" s="9" t="s">
        <v>273</v>
      </c>
      <c r="Q8" s="9" t="s">
        <v>281</v>
      </c>
      <c r="S8" s="9">
        <f>IF(TYPES_ACTIVITE!A7="","",TYPES_ACTIVITE!A7)</f>
        <v/>
      </c>
    </row>
    <row r="9" spans="1:19">
      <c r="A9" s="9" t="s">
        <v>208</v>
      </c>
      <c r="B9" s="9" t="s">
        <v>215</v>
      </c>
      <c r="C9" s="9" t="s">
        <v>225</v>
      </c>
      <c r="D9" s="9" t="s">
        <v>232</v>
      </c>
      <c r="E9" s="9" t="s">
        <v>176</v>
      </c>
      <c r="F9" s="9" t="s">
        <v>97</v>
      </c>
      <c r="H9" s="9" t="s">
        <v>247</v>
      </c>
      <c r="O9" s="9" t="s">
        <v>266</v>
      </c>
      <c r="P9" s="9" t="s">
        <v>274</v>
      </c>
      <c r="Q9" s="9" t="s">
        <v>282</v>
      </c>
      <c r="S9" s="9">
        <f>IF(TYPES_ACTIVITE!A8="","",TYPES_ACTIVITE!A8)</f>
        <v/>
      </c>
    </row>
    <row r="10" spans="1:19">
      <c r="A10" s="9" t="s">
        <v>209</v>
      </c>
      <c r="B10" s="9" t="s">
        <v>216</v>
      </c>
      <c r="C10" s="9" t="s">
        <v>226</v>
      </c>
      <c r="D10" s="9" t="s">
        <v>233</v>
      </c>
      <c r="E10" s="9" t="s">
        <v>239</v>
      </c>
      <c r="O10" s="9" t="s">
        <v>267</v>
      </c>
      <c r="P10" s="9" t="s">
        <v>275</v>
      </c>
      <c r="Q10" s="9" t="s">
        <v>283</v>
      </c>
      <c r="S10" s="9">
        <f>IF(TYPES_ACTIVITE!A9="","",TYPES_ACTIVITE!A9)</f>
        <v/>
      </c>
    </row>
    <row r="11" spans="1:19">
      <c r="B11" s="9" t="s">
        <v>217</v>
      </c>
      <c r="C11" s="9" t="s">
        <v>227</v>
      </c>
      <c r="D11" s="9" t="s">
        <v>234</v>
      </c>
      <c r="E11" s="9" t="s">
        <v>239</v>
      </c>
      <c r="O11" s="9" t="s">
        <v>268</v>
      </c>
      <c r="P11" s="9" t="s">
        <v>276</v>
      </c>
      <c r="S11" s="9">
        <f>IF(TYPES_ACTIVITE!A10="","",TYPES_ACTIVITE!A10)</f>
        <v/>
      </c>
    </row>
    <row r="12" spans="1:19">
      <c r="B12" s="9" t="s">
        <v>218</v>
      </c>
      <c r="D12" s="9" t="s">
        <v>235</v>
      </c>
      <c r="E12" s="9" t="s">
        <v>239</v>
      </c>
      <c r="P12" s="9" t="s">
        <v>277</v>
      </c>
      <c r="S12" s="9">
        <f>IF(TYPES_ACTIVITE!A11="","",TYPES_ACTIVITE!A11)</f>
        <v/>
      </c>
    </row>
    <row r="13" spans="1:19">
      <c r="B13" s="9" t="s">
        <v>219</v>
      </c>
      <c r="D13" s="9" t="s">
        <v>236</v>
      </c>
      <c r="E13" s="9" t="s">
        <v>239</v>
      </c>
      <c r="S13" s="9">
        <f>IF(TYPES_ACTIVITE!A12="","",TYPES_ACTIVITE!A12)</f>
        <v/>
      </c>
    </row>
    <row r="14" spans="1:19">
      <c r="B14" s="9" t="s">
        <v>220</v>
      </c>
      <c r="D14" s="9" t="s">
        <v>237</v>
      </c>
      <c r="E14" s="9" t="s">
        <v>239</v>
      </c>
      <c r="S14" s="9">
        <f>IF(TYPES_ACTIVITE!A13="","",TYPES_ACTIVITE!A13)</f>
        <v/>
      </c>
    </row>
    <row r="15" spans="1:19">
      <c r="S15" s="9">
        <f>IF(TYPES_ACTIVITE!A14="","",TYPES_ACTIVITE!A14)</f>
        <v/>
      </c>
    </row>
    <row r="16" spans="1:19">
      <c r="S16" s="9">
        <f>IF(TYPES_ACTIVITE!A15="","",TYPES_ACTIVITE!A15)</f>
        <v/>
      </c>
    </row>
    <row r="17" spans="19:19">
      <c r="S17" s="9">
        <f>IF(TYPES_ACTIVITE!A16="","",TYPES_ACTIVITE!A16)</f>
        <v/>
      </c>
    </row>
    <row r="18" spans="19:19">
      <c r="S18" s="9">
        <f>IF(TYPES_ACTIVITE!A17="","",TYPES_ACTIVITE!A17)</f>
        <v/>
      </c>
    </row>
    <row r="19" spans="19:19">
      <c r="S19" s="9">
        <f>IF(TYPES_ACTIVITE!A18="","",TYPES_ACTIVITE!A18)</f>
        <v/>
      </c>
    </row>
    <row r="20" spans="19:19">
      <c r="S20" s="9">
        <f>IF(TYPES_ACTIVITE!A19="","",TYPES_ACTIVITE!A19)</f>
        <v/>
      </c>
    </row>
    <row r="21" spans="19:19">
      <c r="S21" s="9">
        <f>IF(TYPES_ACTIVITE!A20="","",TYPES_ACTIVITE!A20)</f>
        <v/>
      </c>
    </row>
    <row r="22" spans="19:19">
      <c r="S22" s="9">
        <f>IF(TYPES_ACTIVITE!A21="","",TYPES_ACTIVITE!A21)</f>
        <v/>
      </c>
    </row>
    <row r="23" spans="19:19">
      <c r="S23" s="9">
        <f>IF(TYPES_ACTIVITE!A22="","",TYPES_ACTIVITE!A22)</f>
        <v/>
      </c>
    </row>
    <row r="24" spans="19:19">
      <c r="S24" s="9">
        <f>IF(TYPES_ACTIVITE!A23="","",TYPES_ACTIVITE!A23)</f>
        <v/>
      </c>
    </row>
    <row r="25" spans="19:19">
      <c r="S25" s="9">
        <f>IF(TYPES_ACTIVITE!A24="","",TYPES_ACTIVITE!A24)</f>
        <v/>
      </c>
    </row>
    <row r="26" spans="19:19">
      <c r="S26" s="9">
        <f>IF(TYPES_ACTIVITE!A25="","",TYPES_ACTIVITE!A25)</f>
        <v/>
      </c>
    </row>
    <row r="27" spans="19:19">
      <c r="S27" s="9">
        <f>IF(TYPES_ACTIVITE!A26="","",TYPES_ACTIVITE!A26)</f>
        <v/>
      </c>
    </row>
    <row r="28" spans="19:19">
      <c r="S28" s="9">
        <f>IF(TYPES_ACTIVITE!A27="","",TYPES_ACTIVITE!A27)</f>
        <v/>
      </c>
    </row>
    <row r="29" spans="19:19">
      <c r="S29" s="9">
        <f>IF(TYPES_ACTIVITE!A28="","",TYPES_ACTIVITE!A28)</f>
        <v/>
      </c>
    </row>
    <row r="30" spans="19:19">
      <c r="S30" s="9">
        <f>IF(TYPES_ACTIVITE!A29="","",TYPES_ACTIVITE!A29)</f>
        <v/>
      </c>
    </row>
    <row r="31" spans="19:19">
      <c r="S31" s="9">
        <f>IF(TYPES_ACTIVITE!A30="","",TYPES_ACTIVITE!A30)</f>
        <v/>
      </c>
    </row>
    <row r="32" spans="19:19">
      <c r="S32" s="9">
        <f>IF(TYPES_ACTIVITE!A31="","",TYPES_ACTIVITE!A31)</f>
        <v/>
      </c>
    </row>
    <row r="33" spans="19:19">
      <c r="S33" s="9">
        <f>IF(TYPES_ACTIVITE!A32="","",TYPES_ACTIVITE!A32)</f>
        <v/>
      </c>
    </row>
    <row r="34" spans="19:19">
      <c r="S34" s="9">
        <f>IF(TYPES_ACTIVITE!A33="","",TYPES_ACTIVITE!A33)</f>
        <v/>
      </c>
    </row>
    <row r="35" spans="19:19">
      <c r="S35" s="9">
        <f>IF(TYPES_ACTIVITE!A34="","",TYPES_ACTIVITE!A34)</f>
        <v/>
      </c>
    </row>
    <row r="36" spans="19:19">
      <c r="S36" s="9">
        <f>IF(TYPES_ACTIVITE!A35="","",TYPES_ACTIVITE!A35)</f>
        <v/>
      </c>
    </row>
    <row r="37" spans="19:19">
      <c r="S37" s="9">
        <f>IF(TYPES_ACTIVITE!A36="","",TYPES_ACTIVITE!A36)</f>
        <v/>
      </c>
    </row>
    <row r="38" spans="19:19">
      <c r="S38" s="9">
        <f>IF(TYPES_ACTIVITE!A37="","",TYPES_ACTIVITE!A37)</f>
        <v/>
      </c>
    </row>
    <row r="39" spans="19:19">
      <c r="S39" s="9">
        <f>IF(TYPES_ACTIVITE!A38="","",TYPES_ACTIVITE!A38)</f>
        <v/>
      </c>
    </row>
    <row r="40" spans="19:19">
      <c r="S40" s="9">
        <f>IF(TYPES_ACTIVITE!A39="","",TYPES_ACTIVITE!A39)</f>
        <v/>
      </c>
    </row>
    <row r="41" spans="19:19">
      <c r="S41" s="9">
        <f>IF(TYPES_ACTIVITE!A40="","",TYPES_ACTIVITE!A40)</f>
        <v/>
      </c>
    </row>
    <row r="42" spans="19:19">
      <c r="S42" s="9">
        <f>IF(TYPES_ACTIVITE!A41="","",TYPES_ACTIVITE!A41)</f>
        <v/>
      </c>
    </row>
    <row r="43" spans="19:19">
      <c r="S43" s="9">
        <f>IF(TYPES_ACTIVITE!A42="","",TYPES_ACTIVITE!A42)</f>
        <v/>
      </c>
    </row>
    <row r="44" spans="19:19">
      <c r="S44" s="9">
        <f>IF(TYPES_ACTIVITE!A43="","",TYPES_ACTIVITE!A43)</f>
        <v/>
      </c>
    </row>
    <row r="45" spans="19:19">
      <c r="S45" s="9">
        <f>IF(TYPES_ACTIVITE!A44="","",TYPES_ACTIVITE!A44)</f>
        <v/>
      </c>
    </row>
  </sheetData>
  <sheetProtection password="B542" sheet="1" objects="1" scenarios="1" formatColumns="0" formatRows="0" autoFilter="0"/>
  <mergeCells count="1">
    <mergeCell ref="A1:S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0.7109375" style="9" customWidth="1"/>
    <col min="3" max="3" width="14.7109375" style="9" customWidth="1"/>
    <col min="4" max="5" width="10.7109375" style="16" customWidth="1"/>
    <col min="6" max="6" width="11.7109375" style="9" customWidth="1"/>
    <col min="7" max="7" width="8.7109375" style="9" customWidth="1"/>
  </cols>
  <sheetData>
    <row r="1" spans="1:8" ht="30" customHeight="1">
      <c r="A1" s="13" t="s">
        <v>287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288</v>
      </c>
      <c r="D4" s="14" t="s">
        <v>72</v>
      </c>
      <c r="E4" s="14" t="s">
        <v>73</v>
      </c>
      <c r="F4" s="14" t="s">
        <v>289</v>
      </c>
      <c r="G4" s="14" t="s">
        <v>290</v>
      </c>
    </row>
    <row r="5" spans="1:8">
      <c r="A5" s="9" t="s">
        <v>291</v>
      </c>
      <c r="B5" s="9" t="s">
        <v>292</v>
      </c>
      <c r="C5" s="9" t="s">
        <v>293</v>
      </c>
      <c r="D5" s="16">
        <v>0.75</v>
      </c>
      <c r="E5" s="16">
        <v>0.8541666666666666</v>
      </c>
      <c r="F5" s="9" t="s">
        <v>176</v>
      </c>
      <c r="G5" s="9" t="s">
        <v>176</v>
      </c>
    </row>
    <row r="6" spans="1:8">
      <c r="A6" s="9" t="s">
        <v>296</v>
      </c>
      <c r="B6" s="9" t="s">
        <v>297</v>
      </c>
      <c r="C6" s="9" t="s">
        <v>298</v>
      </c>
      <c r="F6" s="9" t="s">
        <v>176</v>
      </c>
      <c r="G6" s="9" t="s">
        <v>176</v>
      </c>
    </row>
    <row r="7" spans="1:8">
      <c r="A7" s="9" t="s">
        <v>299</v>
      </c>
      <c r="B7" s="9" t="s">
        <v>300</v>
      </c>
      <c r="F7" s="9" t="s">
        <v>176</v>
      </c>
      <c r="G7" s="9" t="s">
        <v>176</v>
      </c>
    </row>
    <row r="8" spans="1:8">
      <c r="A8" s="9" t="s">
        <v>301</v>
      </c>
      <c r="B8" s="9" t="s">
        <v>302</v>
      </c>
      <c r="F8" s="9" t="s">
        <v>176</v>
      </c>
      <c r="G8" s="9" t="s">
        <v>176</v>
      </c>
    </row>
    <row r="9" spans="1:8">
      <c r="A9" s="9" t="s">
        <v>303</v>
      </c>
      <c r="B9" s="9" t="s">
        <v>304</v>
      </c>
      <c r="F9" s="9" t="s">
        <v>176</v>
      </c>
      <c r="G9" s="9" t="s">
        <v>176</v>
      </c>
    </row>
    <row r="10" spans="1:8">
      <c r="A10" s="9" t="s">
        <v>305</v>
      </c>
      <c r="B10" s="9" t="s">
        <v>306</v>
      </c>
      <c r="F10" s="9" t="s">
        <v>239</v>
      </c>
      <c r="G10" s="9" t="s">
        <v>176</v>
      </c>
    </row>
    <row r="11" spans="1:8">
      <c r="A11" s="9" t="s">
        <v>307</v>
      </c>
      <c r="B11" s="9" t="s">
        <v>308</v>
      </c>
      <c r="F11" s="9" t="s">
        <v>239</v>
      </c>
      <c r="G11" s="9" t="s">
        <v>176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48.7109375" style="9" customWidth="1"/>
    <col min="3" max="3" width="11.7109375" style="12" customWidth="1"/>
    <col min="4" max="4" width="10.7109375" style="9" customWidth="1"/>
    <col min="5" max="5" width="11.7109375" style="19" customWidth="1"/>
    <col min="6" max="6" width="10.7109375" style="9" customWidth="1"/>
  </cols>
  <sheetData>
    <row r="1" spans="1:8" ht="30" customHeight="1">
      <c r="A1" s="13" t="s">
        <v>309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310</v>
      </c>
      <c r="D4" s="14" t="s">
        <v>311</v>
      </c>
      <c r="E4" s="14" t="s">
        <v>86</v>
      </c>
      <c r="F4" s="14" t="s">
        <v>312</v>
      </c>
    </row>
    <row r="5" spans="1:8">
      <c r="A5" s="9" t="s">
        <v>91</v>
      </c>
      <c r="B5" s="9" t="s">
        <v>313</v>
      </c>
      <c r="C5" s="12">
        <v>1</v>
      </c>
      <c r="D5" s="9" t="s">
        <v>239</v>
      </c>
      <c r="E5" s="19">
        <v>0</v>
      </c>
      <c r="F5" s="9" t="s">
        <v>239</v>
      </c>
    </row>
    <row r="6" spans="1:8">
      <c r="A6" s="9" t="s">
        <v>92</v>
      </c>
      <c r="B6" s="9" t="s">
        <v>314</v>
      </c>
      <c r="C6" s="12">
        <v>1</v>
      </c>
      <c r="D6" s="9" t="s">
        <v>239</v>
      </c>
      <c r="E6" s="19">
        <v>50</v>
      </c>
      <c r="F6" s="9" t="s">
        <v>239</v>
      </c>
    </row>
    <row r="7" spans="1:8">
      <c r="A7" s="9" t="s">
        <v>93</v>
      </c>
      <c r="B7" s="9" t="s">
        <v>315</v>
      </c>
      <c r="C7" s="12">
        <v>0</v>
      </c>
      <c r="D7" s="9" t="s">
        <v>239</v>
      </c>
      <c r="E7" s="19">
        <v>50</v>
      </c>
      <c r="F7" s="9" t="s">
        <v>239</v>
      </c>
    </row>
    <row r="8" spans="1:8">
      <c r="A8" s="9" t="s">
        <v>94</v>
      </c>
      <c r="B8" s="9" t="s">
        <v>316</v>
      </c>
      <c r="C8" s="12">
        <v>0.5</v>
      </c>
      <c r="D8" s="9" t="s">
        <v>239</v>
      </c>
      <c r="E8" s="19">
        <v>0</v>
      </c>
      <c r="F8" s="9" t="s">
        <v>239</v>
      </c>
    </row>
    <row r="9" spans="1:8">
      <c r="A9" s="9" t="s">
        <v>95</v>
      </c>
      <c r="B9" s="9" t="s">
        <v>317</v>
      </c>
      <c r="C9" s="12">
        <v>0</v>
      </c>
      <c r="D9" s="9" t="s">
        <v>176</v>
      </c>
      <c r="E9" s="19">
        <v>0</v>
      </c>
      <c r="F9" s="9" t="s">
        <v>176</v>
      </c>
    </row>
    <row r="10" spans="1:8">
      <c r="A10" s="9" t="s">
        <v>96</v>
      </c>
      <c r="B10" s="9" t="s">
        <v>318</v>
      </c>
      <c r="C10" s="12">
        <v>0</v>
      </c>
      <c r="D10" s="9" t="s">
        <v>239</v>
      </c>
      <c r="E10" s="19">
        <v>0</v>
      </c>
      <c r="F10" s="9" t="s">
        <v>239</v>
      </c>
    </row>
    <row r="11" spans="1:8">
      <c r="A11" s="9" t="s">
        <v>97</v>
      </c>
      <c r="B11" s="9" t="s">
        <v>319</v>
      </c>
      <c r="C11" s="12">
        <v>0</v>
      </c>
      <c r="D11" s="9" t="s">
        <v>176</v>
      </c>
      <c r="E11" s="19">
        <v>0</v>
      </c>
      <c r="F11" s="9" t="s">
        <v>239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9" customWidth="1"/>
    <col min="2" max="2" width="32.7109375" style="9" customWidth="1"/>
    <col min="3" max="3" width="20.7109375" style="9" customWidth="1"/>
    <col min="4" max="5" width="11.7109375" style="9" customWidth="1"/>
    <col min="6" max="6" width="13.7109375" style="19" customWidth="1"/>
    <col min="7" max="7" width="24.7109375" style="9" customWidth="1"/>
    <col min="8" max="8" width="12.7109375" style="9" customWidth="1"/>
  </cols>
  <sheetData>
    <row r="1" spans="1:8" ht="30" customHeight="1">
      <c r="A1" s="13" t="s">
        <v>320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109</v>
      </c>
      <c r="B4" s="14" t="s">
        <v>321</v>
      </c>
      <c r="C4" s="14" t="s">
        <v>322</v>
      </c>
      <c r="D4" s="14" t="s">
        <v>323</v>
      </c>
      <c r="E4" s="14" t="s">
        <v>324</v>
      </c>
      <c r="F4" s="14" t="s">
        <v>325</v>
      </c>
      <c r="G4" s="14" t="s">
        <v>261</v>
      </c>
      <c r="H4" s="14" t="s">
        <v>284</v>
      </c>
    </row>
    <row r="5" spans="1:8">
      <c r="A5" s="9">
        <v>1</v>
      </c>
      <c r="B5" s="9" t="s">
        <v>326</v>
      </c>
      <c r="C5" s="9" t="s">
        <v>327</v>
      </c>
      <c r="D5" s="9" t="s">
        <v>176</v>
      </c>
      <c r="E5" s="9" t="s">
        <v>239</v>
      </c>
      <c r="H5" s="9" t="s">
        <v>104</v>
      </c>
    </row>
    <row r="6" spans="1:8">
      <c r="A6" s="9">
        <v>2</v>
      </c>
      <c r="B6" s="9" t="s">
        <v>328</v>
      </c>
      <c r="C6" s="9" t="s">
        <v>327</v>
      </c>
      <c r="D6" s="9" t="s">
        <v>176</v>
      </c>
      <c r="E6" s="9" t="s">
        <v>239</v>
      </c>
      <c r="H6" s="9" t="s">
        <v>104</v>
      </c>
    </row>
    <row r="7" spans="1:8">
      <c r="A7" s="9">
        <v>3</v>
      </c>
      <c r="B7" s="9" t="s">
        <v>329</v>
      </c>
      <c r="C7" s="9" t="s">
        <v>327</v>
      </c>
      <c r="D7" s="9" t="s">
        <v>176</v>
      </c>
      <c r="E7" s="9" t="s">
        <v>239</v>
      </c>
      <c r="H7" s="9" t="s">
        <v>285</v>
      </c>
    </row>
    <row r="8" spans="1:8">
      <c r="A8" s="9">
        <v>4</v>
      </c>
      <c r="B8" s="9" t="s">
        <v>330</v>
      </c>
      <c r="C8" s="9" t="s">
        <v>331</v>
      </c>
      <c r="D8" s="9" t="s">
        <v>176</v>
      </c>
      <c r="E8" s="9" t="s">
        <v>239</v>
      </c>
      <c r="H8" s="9" t="s">
        <v>104</v>
      </c>
    </row>
    <row r="9" spans="1:8">
      <c r="A9" s="9">
        <v>5</v>
      </c>
      <c r="B9" s="9" t="s">
        <v>332</v>
      </c>
      <c r="C9" s="9" t="s">
        <v>331</v>
      </c>
      <c r="D9" s="9" t="s">
        <v>176</v>
      </c>
      <c r="E9" s="9" t="s">
        <v>239</v>
      </c>
      <c r="H9" s="9" t="s">
        <v>104</v>
      </c>
    </row>
    <row r="10" spans="1:8">
      <c r="A10" s="9">
        <v>6</v>
      </c>
      <c r="B10" s="9" t="s">
        <v>333</v>
      </c>
      <c r="C10" s="9" t="s">
        <v>331</v>
      </c>
      <c r="D10" s="9" t="s">
        <v>176</v>
      </c>
      <c r="E10" s="9" t="s">
        <v>239</v>
      </c>
      <c r="H10" s="9" t="s">
        <v>104</v>
      </c>
    </row>
    <row r="11" spans="1:8">
      <c r="A11" s="9">
        <v>7</v>
      </c>
      <c r="B11" s="9" t="s">
        <v>334</v>
      </c>
      <c r="C11" s="9" t="s">
        <v>331</v>
      </c>
      <c r="D11" s="9" t="s">
        <v>176</v>
      </c>
      <c r="E11" s="9" t="s">
        <v>239</v>
      </c>
      <c r="H11" s="9" t="s">
        <v>104</v>
      </c>
    </row>
    <row r="12" spans="1:8">
      <c r="A12" s="9">
        <v>8</v>
      </c>
      <c r="B12" s="9" t="s">
        <v>335</v>
      </c>
      <c r="C12" s="9" t="s">
        <v>331</v>
      </c>
      <c r="D12" s="9" t="s">
        <v>176</v>
      </c>
      <c r="E12" s="9" t="s">
        <v>239</v>
      </c>
      <c r="H12" s="9" t="s">
        <v>104</v>
      </c>
    </row>
    <row r="13" spans="1:8">
      <c r="A13" s="9">
        <v>9</v>
      </c>
      <c r="B13" s="9" t="s">
        <v>336</v>
      </c>
      <c r="C13" s="9" t="s">
        <v>337</v>
      </c>
      <c r="D13" s="9" t="s">
        <v>176</v>
      </c>
      <c r="E13" s="9" t="s">
        <v>176</v>
      </c>
      <c r="F13" s="19">
        <v>3000</v>
      </c>
      <c r="G13" s="9" t="s">
        <v>266</v>
      </c>
      <c r="H13" s="9" t="s">
        <v>104</v>
      </c>
    </row>
    <row r="14" spans="1:8">
      <c r="A14" s="9">
        <v>10</v>
      </c>
      <c r="B14" s="9" t="s">
        <v>338</v>
      </c>
      <c r="C14" s="9" t="s">
        <v>337</v>
      </c>
      <c r="D14" s="9" t="s">
        <v>176</v>
      </c>
      <c r="E14" s="9" t="s">
        <v>176</v>
      </c>
      <c r="F14" s="19">
        <v>500</v>
      </c>
      <c r="G14" s="9" t="s">
        <v>266</v>
      </c>
      <c r="H14" s="9" t="s">
        <v>104</v>
      </c>
    </row>
    <row r="15" spans="1:8">
      <c r="A15" s="9">
        <v>11</v>
      </c>
      <c r="B15" s="9" t="s">
        <v>339</v>
      </c>
      <c r="C15" s="9" t="s">
        <v>337</v>
      </c>
      <c r="D15" s="9" t="s">
        <v>176</v>
      </c>
      <c r="E15" s="9" t="s">
        <v>176</v>
      </c>
      <c r="F15" s="19">
        <v>250</v>
      </c>
      <c r="G15" s="9" t="s">
        <v>266</v>
      </c>
      <c r="H15" s="9" t="s">
        <v>104</v>
      </c>
    </row>
    <row r="16" spans="1:8">
      <c r="A16" s="9">
        <v>12</v>
      </c>
      <c r="B16" s="9" t="s">
        <v>340</v>
      </c>
      <c r="C16" s="9" t="s">
        <v>337</v>
      </c>
      <c r="D16" s="9" t="s">
        <v>176</v>
      </c>
      <c r="E16" s="9" t="s">
        <v>176</v>
      </c>
      <c r="F16" s="19">
        <v>250</v>
      </c>
      <c r="G16" s="9" t="s">
        <v>266</v>
      </c>
      <c r="H16" s="9" t="s">
        <v>104</v>
      </c>
    </row>
    <row r="17" spans="1:8">
      <c r="A17" s="9">
        <v>13</v>
      </c>
      <c r="B17" s="9" t="s">
        <v>341</v>
      </c>
      <c r="C17" s="9" t="s">
        <v>342</v>
      </c>
      <c r="D17" s="9" t="s">
        <v>176</v>
      </c>
      <c r="E17" s="9" t="s">
        <v>239</v>
      </c>
      <c r="H17" s="9" t="s">
        <v>104</v>
      </c>
    </row>
    <row r="18" spans="1:8">
      <c r="A18" s="9">
        <v>14</v>
      </c>
      <c r="B18" s="9" t="s">
        <v>343</v>
      </c>
      <c r="C18" s="9" t="s">
        <v>342</v>
      </c>
      <c r="D18" s="9" t="s">
        <v>176</v>
      </c>
      <c r="E18" s="9" t="s">
        <v>239</v>
      </c>
      <c r="H18" s="9" t="s">
        <v>104</v>
      </c>
    </row>
  </sheetData>
  <sheetProtection password="B542" sheet="1" objects="1" scenarios="1" formatColumns="0" formatRows="0" autoFilter="0"/>
  <mergeCells count="1">
    <mergeCell ref="A1:H1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34.7109375" style="9" customWidth="1"/>
    <col min="3" max="3" width="24.7109375" style="9" customWidth="1"/>
    <col min="4" max="4" width="7.7109375" style="9" customWidth="1"/>
    <col min="5" max="5" width="12.7109375" style="9" customWidth="1"/>
    <col min="6" max="6" width="30.7109375" style="9" customWidth="1"/>
    <col min="7" max="8" width="12.7109375" style="11" customWidth="1"/>
    <col min="9" max="9" width="17.7109375" style="20" customWidth="1"/>
  </cols>
  <sheetData>
    <row r="1" spans="1:9" ht="30" customHeight="1">
      <c r="A1" s="13" t="s">
        <v>344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80</v>
      </c>
      <c r="B4" s="14" t="s">
        <v>345</v>
      </c>
      <c r="C4" s="14" t="s">
        <v>346</v>
      </c>
      <c r="D4" s="14" t="s">
        <v>290</v>
      </c>
      <c r="E4" s="14" t="s">
        <v>347</v>
      </c>
      <c r="F4" s="14" t="s">
        <v>348</v>
      </c>
      <c r="G4" s="14" t="s">
        <v>349</v>
      </c>
      <c r="H4" s="14" t="s">
        <v>350</v>
      </c>
      <c r="I4" s="14" t="s">
        <v>351</v>
      </c>
    </row>
    <row r="5" spans="1:9">
      <c r="A5" s="9" t="s">
        <v>352</v>
      </c>
      <c r="B5" s="9" t="s">
        <v>353</v>
      </c>
      <c r="D5" s="9" t="s">
        <v>176</v>
      </c>
      <c r="E5" s="9" t="s">
        <v>176</v>
      </c>
    </row>
    <row r="6" spans="1:9">
      <c r="A6" s="9" t="s">
        <v>354</v>
      </c>
      <c r="B6" s="9" t="s">
        <v>221</v>
      </c>
      <c r="D6" s="9" t="s">
        <v>176</v>
      </c>
      <c r="E6" s="9" t="s">
        <v>176</v>
      </c>
    </row>
    <row r="7" spans="1:9">
      <c r="A7" s="9" t="s">
        <v>355</v>
      </c>
      <c r="B7" s="9" t="s">
        <v>222</v>
      </c>
      <c r="D7" s="9" t="s">
        <v>176</v>
      </c>
      <c r="E7" s="9" t="s">
        <v>176</v>
      </c>
    </row>
    <row r="8" spans="1:9">
      <c r="A8" s="9" t="s">
        <v>356</v>
      </c>
      <c r="B8" s="9" t="s">
        <v>223</v>
      </c>
      <c r="D8" s="9" t="s">
        <v>176</v>
      </c>
      <c r="E8" s="9" t="s">
        <v>176</v>
      </c>
    </row>
    <row r="9" spans="1:9">
      <c r="A9" s="9" t="s">
        <v>357</v>
      </c>
      <c r="B9" s="9" t="s">
        <v>224</v>
      </c>
      <c r="D9" s="9" t="s">
        <v>176</v>
      </c>
      <c r="E9" s="9" t="s">
        <v>176</v>
      </c>
    </row>
    <row r="10" spans="1:9">
      <c r="A10" s="9" t="s">
        <v>358</v>
      </c>
      <c r="B10" s="9" t="s">
        <v>225</v>
      </c>
      <c r="D10" s="9" t="s">
        <v>176</v>
      </c>
      <c r="E10" s="9" t="s">
        <v>176</v>
      </c>
    </row>
    <row r="11" spans="1:9">
      <c r="A11" s="9" t="s">
        <v>359</v>
      </c>
      <c r="B11" s="9" t="s">
        <v>226</v>
      </c>
      <c r="D11" s="9" t="s">
        <v>176</v>
      </c>
      <c r="E11" s="9" t="s">
        <v>176</v>
      </c>
    </row>
    <row r="12" spans="1:9">
      <c r="A12" s="9" t="s">
        <v>360</v>
      </c>
      <c r="B12" s="9" t="s">
        <v>361</v>
      </c>
      <c r="D12" s="9" t="s">
        <v>176</v>
      </c>
      <c r="E12" s="9" t="s">
        <v>176</v>
      </c>
    </row>
    <row r="13" spans="1:9">
      <c r="A13" s="9" t="s">
        <v>362</v>
      </c>
      <c r="B13" s="9" t="s">
        <v>363</v>
      </c>
      <c r="D13" s="9" t="s">
        <v>176</v>
      </c>
      <c r="E13" s="9" t="s">
        <v>176</v>
      </c>
    </row>
  </sheetData>
  <sheetProtection password="B542" sheet="1" objects="1" scenarios="1" formatColumns="0" formatRows="0" autoFilter="0"/>
  <mergeCells count="1">
    <mergeCell ref="A1:I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0" customWidth="1"/>
    <col min="2" max="2" width="26.7109375" style="9" customWidth="1"/>
    <col min="3" max="3" width="20.7109375" style="9" customWidth="1"/>
    <col min="4" max="4" width="18.7109375" style="9" customWidth="1"/>
    <col min="5" max="5" width="24.7109375" style="9" customWidth="1"/>
    <col min="6" max="6" width="90.7109375" style="9" customWidth="1"/>
  </cols>
  <sheetData>
    <row r="1" spans="1:8" ht="30" customHeight="1">
      <c r="A1" s="13" t="s">
        <v>364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365</v>
      </c>
      <c r="B4" s="14" t="s">
        <v>345</v>
      </c>
      <c r="C4" s="14" t="s">
        <v>346</v>
      </c>
      <c r="D4" s="14" t="s">
        <v>366</v>
      </c>
      <c r="E4" s="14" t="s">
        <v>367</v>
      </c>
      <c r="F4" s="14" t="s">
        <v>368</v>
      </c>
    </row>
  </sheetData>
  <sheetProtection password="B542" sheet="1" objects="1" scenarios="1" formatColumns="0" formatRows="0" autoFilter="0"/>
  <autoFilter ref="A4:F5"/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K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40.7109375" style="9" customWidth="1"/>
    <col min="3" max="11" width="8.7109375" style="9" customWidth="1"/>
  </cols>
  <sheetData>
    <row r="1" spans="1:11" ht="30" customHeight="1">
      <c r="A1" s="13" t="s">
        <v>369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370</v>
      </c>
      <c r="B4" s="14" t="s">
        <v>129</v>
      </c>
      <c r="C4" s="14" t="s">
        <v>352</v>
      </c>
      <c r="D4" s="14" t="s">
        <v>354</v>
      </c>
      <c r="E4" s="14" t="s">
        <v>355</v>
      </c>
      <c r="F4" s="14" t="s">
        <v>356</v>
      </c>
      <c r="G4" s="14" t="s">
        <v>357</v>
      </c>
      <c r="H4" s="14" t="s">
        <v>358</v>
      </c>
      <c r="I4" s="14" t="s">
        <v>359</v>
      </c>
      <c r="J4" s="14" t="s">
        <v>360</v>
      </c>
      <c r="K4" s="14" t="s">
        <v>362</v>
      </c>
    </row>
    <row r="5" spans="1:11">
      <c r="A5" s="9" t="s">
        <v>371</v>
      </c>
      <c r="B5" s="9" t="s">
        <v>372</v>
      </c>
      <c r="C5" s="9" t="s">
        <v>242</v>
      </c>
      <c r="D5" s="9" t="s">
        <v>373</v>
      </c>
      <c r="E5" s="9" t="s">
        <v>374</v>
      </c>
      <c r="F5" s="9" t="s">
        <v>374</v>
      </c>
      <c r="G5" s="9" t="s">
        <v>374</v>
      </c>
      <c r="H5" s="9" t="s">
        <v>374</v>
      </c>
      <c r="I5" s="9" t="s">
        <v>374</v>
      </c>
      <c r="J5" s="9" t="s">
        <v>374</v>
      </c>
      <c r="K5" s="9" t="s">
        <v>374</v>
      </c>
    </row>
    <row r="6" spans="1:11">
      <c r="A6" s="9" t="s">
        <v>375</v>
      </c>
      <c r="B6" s="9" t="s">
        <v>376</v>
      </c>
      <c r="C6" s="9" t="s">
        <v>242</v>
      </c>
      <c r="D6" s="9" t="s">
        <v>374</v>
      </c>
      <c r="E6" s="9" t="s">
        <v>374</v>
      </c>
      <c r="F6" s="9" t="s">
        <v>374</v>
      </c>
      <c r="G6" s="9" t="s">
        <v>374</v>
      </c>
      <c r="H6" s="9" t="s">
        <v>374</v>
      </c>
      <c r="I6" s="9" t="s">
        <v>374</v>
      </c>
      <c r="J6" s="9" t="s">
        <v>374</v>
      </c>
      <c r="K6" s="9" t="s">
        <v>374</v>
      </c>
    </row>
    <row r="7" spans="1:11">
      <c r="A7" s="9" t="s">
        <v>377</v>
      </c>
      <c r="B7" s="9" t="s">
        <v>378</v>
      </c>
      <c r="C7" s="9" t="s">
        <v>242</v>
      </c>
      <c r="D7" s="9" t="s">
        <v>373</v>
      </c>
      <c r="E7" s="9" t="s">
        <v>373</v>
      </c>
      <c r="F7" s="9" t="s">
        <v>242</v>
      </c>
      <c r="G7" s="9" t="s">
        <v>242</v>
      </c>
      <c r="H7" s="9" t="s">
        <v>373</v>
      </c>
      <c r="I7" s="9" t="s">
        <v>374</v>
      </c>
      <c r="J7" s="9" t="s">
        <v>373</v>
      </c>
      <c r="K7" s="9" t="s">
        <v>373</v>
      </c>
    </row>
    <row r="8" spans="1:11">
      <c r="A8" s="9" t="s">
        <v>379</v>
      </c>
      <c r="B8" s="9" t="s">
        <v>380</v>
      </c>
      <c r="C8" s="9" t="s">
        <v>242</v>
      </c>
      <c r="D8" s="9" t="s">
        <v>373</v>
      </c>
      <c r="E8" s="9" t="s">
        <v>373</v>
      </c>
      <c r="F8" s="9" t="s">
        <v>242</v>
      </c>
      <c r="G8" s="9" t="s">
        <v>242</v>
      </c>
      <c r="H8" s="9" t="s">
        <v>374</v>
      </c>
      <c r="I8" s="9" t="s">
        <v>374</v>
      </c>
      <c r="J8" s="9" t="s">
        <v>373</v>
      </c>
      <c r="K8" s="9" t="s">
        <v>373</v>
      </c>
    </row>
    <row r="9" spans="1:11">
      <c r="A9" s="9" t="s">
        <v>381</v>
      </c>
      <c r="B9" s="9" t="s">
        <v>382</v>
      </c>
      <c r="C9" s="9" t="s">
        <v>242</v>
      </c>
      <c r="D9" s="9" t="s">
        <v>373</v>
      </c>
      <c r="E9" s="9" t="s">
        <v>373</v>
      </c>
      <c r="F9" s="9" t="s">
        <v>374</v>
      </c>
      <c r="G9" s="9" t="s">
        <v>374</v>
      </c>
      <c r="H9" s="9" t="s">
        <v>242</v>
      </c>
      <c r="I9" s="9" t="s">
        <v>373</v>
      </c>
      <c r="J9" s="9" t="s">
        <v>374</v>
      </c>
      <c r="K9" s="9" t="s">
        <v>374</v>
      </c>
    </row>
    <row r="10" spans="1:11">
      <c r="A10" s="9" t="s">
        <v>383</v>
      </c>
      <c r="B10" s="9" t="s">
        <v>384</v>
      </c>
      <c r="C10" s="9" t="s">
        <v>242</v>
      </c>
      <c r="D10" s="9" t="s">
        <v>373</v>
      </c>
      <c r="E10" s="9" t="s">
        <v>373</v>
      </c>
      <c r="F10" s="9" t="s">
        <v>373</v>
      </c>
      <c r="G10" s="9" t="s">
        <v>373</v>
      </c>
      <c r="H10" s="9" t="s">
        <v>242</v>
      </c>
      <c r="I10" s="9" t="s">
        <v>373</v>
      </c>
      <c r="J10" s="9" t="s">
        <v>374</v>
      </c>
      <c r="K10" s="9" t="s">
        <v>374</v>
      </c>
    </row>
    <row r="11" spans="1:11">
      <c r="A11" s="9" t="s">
        <v>385</v>
      </c>
      <c r="B11" s="9" t="s">
        <v>386</v>
      </c>
      <c r="C11" s="9" t="s">
        <v>242</v>
      </c>
      <c r="D11" s="9" t="s">
        <v>373</v>
      </c>
      <c r="E11" s="9" t="s">
        <v>242</v>
      </c>
      <c r="F11" s="9" t="s">
        <v>373</v>
      </c>
      <c r="G11" s="9" t="s">
        <v>373</v>
      </c>
      <c r="H11" s="9" t="s">
        <v>242</v>
      </c>
      <c r="I11" s="9" t="s">
        <v>373</v>
      </c>
      <c r="J11" s="9" t="s">
        <v>374</v>
      </c>
      <c r="K11" s="9" t="s">
        <v>374</v>
      </c>
    </row>
    <row r="12" spans="1:11">
      <c r="A12" s="9" t="s">
        <v>387</v>
      </c>
      <c r="B12" s="9" t="s">
        <v>388</v>
      </c>
      <c r="C12" s="9" t="s">
        <v>242</v>
      </c>
      <c r="D12" s="9" t="s">
        <v>373</v>
      </c>
      <c r="E12" s="9" t="s">
        <v>373</v>
      </c>
      <c r="F12" s="9" t="s">
        <v>374</v>
      </c>
      <c r="G12" s="9" t="s">
        <v>374</v>
      </c>
      <c r="H12" s="9" t="s">
        <v>373</v>
      </c>
      <c r="I12" s="9" t="s">
        <v>242</v>
      </c>
      <c r="J12" s="9" t="s">
        <v>374</v>
      </c>
      <c r="K12" s="9" t="s">
        <v>373</v>
      </c>
    </row>
    <row r="13" spans="1:11">
      <c r="A13" s="9" t="s">
        <v>389</v>
      </c>
      <c r="B13" s="9" t="s">
        <v>390</v>
      </c>
      <c r="C13" s="9" t="s">
        <v>242</v>
      </c>
      <c r="D13" s="9" t="s">
        <v>242</v>
      </c>
      <c r="E13" s="9" t="s">
        <v>242</v>
      </c>
      <c r="F13" s="9" t="s">
        <v>373</v>
      </c>
      <c r="G13" s="9" t="s">
        <v>373</v>
      </c>
      <c r="H13" s="9" t="s">
        <v>374</v>
      </c>
      <c r="I13" s="9" t="s">
        <v>374</v>
      </c>
      <c r="J13" s="9" t="s">
        <v>373</v>
      </c>
      <c r="K13" s="9" t="s">
        <v>374</v>
      </c>
    </row>
    <row r="14" spans="1:11">
      <c r="A14" s="9" t="s">
        <v>391</v>
      </c>
      <c r="B14" s="9" t="s">
        <v>392</v>
      </c>
      <c r="C14" s="9" t="s">
        <v>242</v>
      </c>
      <c r="D14" s="9" t="s">
        <v>242</v>
      </c>
      <c r="E14" s="9" t="s">
        <v>242</v>
      </c>
      <c r="F14" s="9" t="s">
        <v>242</v>
      </c>
      <c r="G14" s="9" t="s">
        <v>242</v>
      </c>
      <c r="H14" s="9" t="s">
        <v>373</v>
      </c>
      <c r="I14" s="9" t="s">
        <v>373</v>
      </c>
      <c r="J14" s="9" t="s">
        <v>242</v>
      </c>
      <c r="K14" s="9" t="s">
        <v>373</v>
      </c>
    </row>
    <row r="15" spans="1:11">
      <c r="A15" s="9" t="s">
        <v>393</v>
      </c>
      <c r="B15" s="9" t="s">
        <v>394</v>
      </c>
      <c r="C15" s="9" t="s">
        <v>242</v>
      </c>
      <c r="D15" s="9" t="s">
        <v>242</v>
      </c>
      <c r="E15" s="9" t="s">
        <v>373</v>
      </c>
      <c r="F15" s="9" t="s">
        <v>242</v>
      </c>
      <c r="G15" s="9" t="s">
        <v>373</v>
      </c>
      <c r="H15" s="9" t="s">
        <v>374</v>
      </c>
      <c r="I15" s="9" t="s">
        <v>374</v>
      </c>
      <c r="J15" s="9" t="s">
        <v>374</v>
      </c>
      <c r="K15" s="9" t="s">
        <v>373</v>
      </c>
    </row>
    <row r="16" spans="1:11">
      <c r="A16" s="9" t="s">
        <v>395</v>
      </c>
      <c r="B16" s="9" t="s">
        <v>396</v>
      </c>
      <c r="C16" s="9" t="s">
        <v>242</v>
      </c>
      <c r="D16" s="9" t="s">
        <v>373</v>
      </c>
      <c r="E16" s="9" t="s">
        <v>373</v>
      </c>
      <c r="F16" s="9" t="s">
        <v>373</v>
      </c>
      <c r="G16" s="9" t="s">
        <v>373</v>
      </c>
      <c r="H16" s="9" t="s">
        <v>374</v>
      </c>
      <c r="I16" s="9" t="s">
        <v>374</v>
      </c>
      <c r="J16" s="9" t="s">
        <v>242</v>
      </c>
      <c r="K16" s="9" t="s">
        <v>373</v>
      </c>
    </row>
    <row r="17" spans="1:11">
      <c r="A17" s="9" t="s">
        <v>397</v>
      </c>
      <c r="B17" s="9" t="s">
        <v>398</v>
      </c>
      <c r="C17" s="9" t="s">
        <v>242</v>
      </c>
      <c r="D17" s="9" t="s">
        <v>373</v>
      </c>
      <c r="E17" s="9" t="s">
        <v>373</v>
      </c>
      <c r="F17" s="9" t="s">
        <v>373</v>
      </c>
      <c r="G17" s="9" t="s">
        <v>373</v>
      </c>
      <c r="H17" s="9" t="s">
        <v>373</v>
      </c>
      <c r="I17" s="9" t="s">
        <v>373</v>
      </c>
      <c r="J17" s="9" t="s">
        <v>373</v>
      </c>
      <c r="K17" s="9" t="s">
        <v>373</v>
      </c>
    </row>
    <row r="18" spans="1:11">
      <c r="A18" s="9" t="s">
        <v>399</v>
      </c>
      <c r="B18" s="9" t="s">
        <v>400</v>
      </c>
      <c r="C18" s="9" t="s">
        <v>373</v>
      </c>
      <c r="D18" s="9" t="s">
        <v>374</v>
      </c>
      <c r="E18" s="9" t="s">
        <v>374</v>
      </c>
      <c r="F18" s="9" t="s">
        <v>374</v>
      </c>
      <c r="G18" s="9" t="s">
        <v>374</v>
      </c>
      <c r="H18" s="9" t="s">
        <v>374</v>
      </c>
      <c r="I18" s="9" t="s">
        <v>374</v>
      </c>
      <c r="J18" s="9" t="s">
        <v>374</v>
      </c>
      <c r="K18" s="9" t="s">
        <v>374</v>
      </c>
    </row>
  </sheetData>
  <sheetProtection password="B542" sheet="1" objects="1" scenarios="1" formatColumns="0" formatRows="0" autoFilter="0"/>
  <mergeCells count="1">
    <mergeCell ref="A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0.7109375" style="9" customWidth="1"/>
    <col min="3" max="3" width="70.7109375" style="9" customWidth="1"/>
  </cols>
  <sheetData>
    <row r="1" spans="1:8" ht="30" customHeight="1">
      <c r="A1" s="13" t="s">
        <v>401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402</v>
      </c>
      <c r="C4" s="14" t="s">
        <v>403</v>
      </c>
    </row>
    <row r="5" spans="1:8">
      <c r="A5" s="9" t="s">
        <v>352</v>
      </c>
      <c r="B5" s="9" t="s">
        <v>404</v>
      </c>
      <c r="C5" s="9" t="s">
        <v>405</v>
      </c>
    </row>
    <row r="6" spans="1:8">
      <c r="A6" s="9" t="s">
        <v>354</v>
      </c>
      <c r="B6" s="9" t="s">
        <v>406</v>
      </c>
      <c r="C6" s="9" t="s">
        <v>407</v>
      </c>
    </row>
    <row r="7" spans="1:8">
      <c r="A7" s="9" t="s">
        <v>355</v>
      </c>
      <c r="B7" s="9" t="s">
        <v>408</v>
      </c>
      <c r="C7" s="9" t="s">
        <v>409</v>
      </c>
    </row>
    <row r="8" spans="1:8">
      <c r="A8" s="9" t="s">
        <v>356</v>
      </c>
      <c r="B8" s="9" t="s">
        <v>410</v>
      </c>
      <c r="C8" s="9" t="s">
        <v>411</v>
      </c>
    </row>
    <row r="9" spans="1:8">
      <c r="A9" s="9" t="s">
        <v>357</v>
      </c>
      <c r="B9" s="9" t="s">
        <v>412</v>
      </c>
      <c r="C9" s="9" t="s">
        <v>413</v>
      </c>
    </row>
    <row r="10" spans="1:8">
      <c r="A10" s="9" t="s">
        <v>358</v>
      </c>
      <c r="B10" s="9" t="s">
        <v>414</v>
      </c>
      <c r="C10" s="9" t="s">
        <v>415</v>
      </c>
    </row>
    <row r="11" spans="1:8">
      <c r="A11" s="9" t="s">
        <v>359</v>
      </c>
      <c r="B11" s="9" t="s">
        <v>416</v>
      </c>
      <c r="C11" s="9" t="s">
        <v>417</v>
      </c>
    </row>
    <row r="12" spans="1:8">
      <c r="A12" s="9" t="s">
        <v>360</v>
      </c>
      <c r="B12" s="9" t="s">
        <v>418</v>
      </c>
      <c r="C12" s="9" t="s">
        <v>419</v>
      </c>
    </row>
    <row r="13" spans="1:8">
      <c r="A13" s="9" t="s">
        <v>362</v>
      </c>
      <c r="B13" s="9" t="s">
        <v>420</v>
      </c>
      <c r="C13" s="9" t="s">
        <v>421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ACCUEIL</vt:lpstr>
      <vt:lpstr>L_APPLICABLE</vt:lpstr>
      <vt:lpstr>L_CAT_PAT</vt:lpstr>
      <vt:lpstr>L_CATEGORIES</vt:lpstr>
      <vt:lpstr>L_CODES</vt:lpstr>
      <vt:lpstr>L_COMMISSIONS</vt:lpstr>
      <vt:lpstr>L_DECISIONS</vt:lpstr>
      <vt:lpstr>L_ETATS</vt:lpstr>
      <vt:lpstr>L_FILTRE_TYPES</vt:lpstr>
      <vt:lpstr>L_FONCTIONS</vt:lpstr>
      <vt:lpstr>L_MODES</vt:lpstr>
      <vt:lpstr>L_OFFICIANTS</vt:lpstr>
      <vt:lpstr>L_OUINON</vt:lpstr>
      <vt:lpstr>L_OUINONNA</vt:lpstr>
      <vt:lpstr>L_PUPITRES</vt:lpstr>
      <vt:lpstr>L_ROLES</vt:lpstr>
      <vt:lpstr>L_SEANCES</vt:lpstr>
      <vt:lpstr>L_SEXE</vt:lpstr>
      <vt:lpstr>L_SITUATIONS</vt:lpstr>
      <vt:lpstr>L_STATUTS</vt:lpstr>
      <vt:lpstr>L_STATUTS_SEANCE</vt:lpstr>
      <vt:lpstr>L_TYPES</vt:lpstr>
      <vt:lpstr>ELECTEURS!Print_Titles</vt:lpstr>
      <vt:lpstr>FICHE_APPEL!Print_Titles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2026-10-13T19:25:40Z</dcterms:created>
  <dcterms:modified xsi:type="dcterms:W3CDTF">2026-10-13T19:25:40Z</dcterms:modified>
</cp:coreProperties>
</file>