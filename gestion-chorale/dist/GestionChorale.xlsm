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ACCUEIL" sheetId="1" r:id="rId1"/>
    <sheet name="MEMBRES" sheetId="2" state="veryHidden" r:id="rId2"/>
    <sheet name="ADHESIONS" sheetId="3" state="veryHidden" r:id="rId3"/>
    <sheet name="SEANCES" sheetId="4" state="veryHidden" r:id="rId4"/>
    <sheet name="POINTAGE" sheetId="5" state="veryHidden" r:id="rId5"/>
    <sheet name="PRESENCES" sheetId="6" state="veryHidden" r:id="rId6"/>
    <sheet name="TAUX" sheetId="7" state="veryHidden" r:id="rId7"/>
    <sheet name="FICHE_APPEL" sheetId="8" state="veryHidden" r:id="rId8"/>
    <sheet name="ELECTEURS" sheetId="9" state="veryHidden" r:id="rId9"/>
    <sheet name="PATRIMOINE" sheetId="10" state="veryHidden" r:id="rId10"/>
    <sheet name="PARAMETRES" sheetId="11" state="veryHidden" r:id="rId11"/>
    <sheet name="LISTES" sheetId="12" state="veryHidden" r:id="rId12"/>
    <sheet name="TYPES_ACTIVITE" sheetId="13" state="veryHidden" r:id="rId13"/>
    <sheet name="CODES_PRESENCE" sheetId="14" state="veryHidden" r:id="rId14"/>
    <sheet name="CONTROLES_ADHESION" sheetId="15" state="veryHidden" r:id="rId15"/>
    <sheet name="UTILISATEURS" sheetId="16" state="veryHidden" r:id="rId16"/>
    <sheet name="JOURNAL" sheetId="17" state="veryHidden" r:id="rId17"/>
    <sheet name="DROITS" sheetId="18" state="veryHidden" r:id="rId18"/>
    <sheet name="SECURITE" sheetId="19" state="veryHidden" r:id="rId19"/>
    <sheet name="CAISSE" sheetId="20" state="veryHidden" r:id="rId20"/>
    <sheet name="SAISIE_CAISSE" sheetId="21" state="veryHidden" r:id="rId21"/>
    <sheet name="COTISATIONS" sheetId="22" state="veryHidden" r:id="rId22"/>
    <sheet name="CAMPAGNES" sheetId="23" state="veryHidden" r:id="rId23"/>
    <sheet name="SUIVI_CAMPAGNE" sheetId="24" state="veryHidden" r:id="rId24"/>
    <sheet name="SOCIAL" sheetId="25" state="veryHidden" r:id="rId25"/>
    <sheet name="BUDGET" sheetId="26" state="veryHidden" r:id="rId26"/>
    <sheet name="SUIVI_BUDGET" sheetId="27" state="veryHidden" r:id="rId27"/>
    <sheet name="ARRETE_CAISSE" sheetId="28" state="veryHidden" r:id="rId28"/>
    <sheet name="ARRETES" sheetId="29" state="veryHidden" r:id="rId29"/>
    <sheet name="PERTES" sheetId="30" state="veryHidden" r:id="rId30"/>
    <sheet name="RECU" sheetId="31" state="veryHidden" r:id="rId31"/>
    <sheet name="CLOTURES" sheetId="32" state="veryHidden" r:id="rId32"/>
    <sheet name="RUBRIQUES" sheetId="33" state="veryHidden" r:id="rId33"/>
    <sheet name="BAREME_SOCIAL" sheetId="34" state="veryHidden" r:id="rId34"/>
  </sheets>
  <definedNames>
    <definedName name="_xlnm._FilterDatabase" localSheetId="2" hidden="1">ADHESIONS!$A$4:$AF$5</definedName>
    <definedName name="_xlnm._FilterDatabase" localSheetId="28" hidden="1">ARRETES!$A$4:$H$5</definedName>
    <definedName name="_xlnm._FilterDatabase" localSheetId="25" hidden="1">BUDGET!$A$4:$W$5</definedName>
    <definedName name="_xlnm._FilterDatabase" localSheetId="19" hidden="1">CAISSE!$A$4:$U$5</definedName>
    <definedName name="_xlnm._FilterDatabase" localSheetId="22" hidden="1">CAMPAGNES!$A$4:$K$5</definedName>
    <definedName name="_xlnm._FilterDatabase" localSheetId="16" hidden="1">JOURNAL!$A$4:$F$5</definedName>
    <definedName name="_xlnm._FilterDatabase" localSheetId="1" hidden="1">MEMBRES!$A$4:$Z$5</definedName>
    <definedName name="_xlnm._FilterDatabase" localSheetId="9" hidden="1">PATRIMOINE!$A$4:$N$5</definedName>
    <definedName name="_xlnm._FilterDatabase" localSheetId="29" hidden="1">PERTES!$A$4:$K$5</definedName>
    <definedName name="_xlnm._FilterDatabase" localSheetId="5" hidden="1">PRESENCES!$A$4:$J$5</definedName>
    <definedName name="_xlnm._FilterDatabase" localSheetId="3" hidden="1">SEANCES!$A$4:$M$5</definedName>
    <definedName name="_xlnm._FilterDatabase" localSheetId="24" hidden="1">SOCIAL!$A$4:$Q$5</definedName>
    <definedName name="L_APPLICABLE">OFFSET(LISTES!$S$5,0,0,MAX(1,COUNTA(LISTES!$S$5:$S$300)),1)</definedName>
    <definedName name="L_CAISSES">OFFSET(LISTES!$T$5,0,0,MAX(1,COUNTA(LISTES!$T$5:$T$300)),1)</definedName>
    <definedName name="L_CAMPAGNES">OFFSET(CAMPAGNES!$A$5,0,0,MAX(1,COUNTA(CAMPAGNES!$A$5:$A$5000)),1)</definedName>
    <definedName name="L_CAT_PAT">OFFSET(LISTES!$P$5,0,0,MAX(1,COUNTA(LISTES!$P$5:$P$300)),1)</definedName>
    <definedName name="L_CATEGORIES">OFFSET(LISTES!$J$5,0,0,MAX(1,COUNTA(LISTES!$J$5:$J$300)),1)</definedName>
    <definedName name="L_CODES">OFFSET(CODES_PRESENCE!$A$5,0,0,MAX(1,COUNTA(CODES_PRESENCE!$A$5:$A$300)),1)</definedName>
    <definedName name="L_COMMISSIONS">OFFSET(LISTES!$B$5,0,0,MAX(1,COUNTA(LISTES!$B$5:$B$300)),1)</definedName>
    <definedName name="L_DECISIONS">OFFSET(LISTES!$K$5,0,0,MAX(1,COUNTA(LISTES!$K$5:$K$300)),1)</definedName>
    <definedName name="L_ETATS">OFFSET(LISTES!$Q$5,0,0,MAX(1,COUNTA(LISTES!$Q$5:$Q$300)),1)</definedName>
    <definedName name="L_EVENEMENTS">OFFSET(BAREME_SOCIAL!$A$5,0,0,MAX(1,COUNTA(BAREME_SOCIAL!$A$5:$A$300)),1)</definedName>
    <definedName name="L_FILTRE_TYPES">OFFSET(LISTES!$AA$5,0,0,1+COUNTIF(TYPES_ACTIVITE!$A$5:$A$300,"?*"),1)</definedName>
    <definedName name="L_FONCTIONS">OFFSET(LISTES!$C$5,0,0,MAX(1,COUNTA(LISTES!$C$5:$C$300)),1)</definedName>
    <definedName name="L_FONDS">OFFSET(LISTES!$W$5,0,0,MAX(1,COUNTA(LISTES!$W$5:$W$300)),1)</definedName>
    <definedName name="L_MODES">OFFSET(LISTES!$R$5,0,0,MAX(1,COUNTA(LISTES!$R$5:$R$300)),1)</definedName>
    <definedName name="L_NATURES">OFFSET(LISTES!$Y$5,0,0,MAX(1,COUNTA(LISTES!$Y$5:$Y$300)),1)</definedName>
    <definedName name="L_OFFICIANTS">OFFSET(LISTES!$L$5,0,0,MAX(1,COUNTA(LISTES!$L$5:$L$300)),1)</definedName>
    <definedName name="L_OPERATIONS">OFFSET(LISTES!$U$5,0,0,MAX(1,COUNTA(LISTES!$U$5:$U$300)),1)</definedName>
    <definedName name="L_OUINON">OFFSET(LISTES!$M$5,0,0,MAX(1,COUNTA(LISTES!$M$5:$M$300)),1)</definedName>
    <definedName name="L_OUINONNA">OFFSET(LISTES!$N$5,0,0,MAX(1,COUNTA(LISTES!$N$5:$N$300)),1)</definedName>
    <definedName name="L_PUPITRES">OFFSET(LISTES!$A$5,0,0,MAX(1,COUNTA(LISTES!$A$5:$A$300)),1)</definedName>
    <definedName name="L_ROLES">UTILISATEURS!$B$5:$B$13</definedName>
    <definedName name="L_RUBRIQUES">OFFSET(RUBRIQUES!$G$5,0,0,MAX(1,COUNTIF(RUBRIQUES!$G$5:$G$300,"?*")),1)</definedName>
    <definedName name="L_SEANCES">OFFSET(SEANCES!$A$5,0,0,MAX(1,COUNTA(SEANCES!$A$5:$A$5000)),1)</definedName>
    <definedName name="L_SENS">OFFSET(LISTES!$V$5,0,0,MAX(1,COUNTA(LISTES!$V$5:$V$300)),1)</definedName>
    <definedName name="L_SEXE">OFFSET(LISTES!$H$5,0,0,MAX(1,COUNTA(LISTES!$H$5:$H$300)),1)</definedName>
    <definedName name="L_SITUATIONS">OFFSET(LISTES!$I$5,0,0,MAX(1,COUNTA(LISTES!$I$5:$I$300)),1)</definedName>
    <definedName name="L_STATUTS">OFFSET(LISTES!$D$5,0,0,MAX(1,COUNTA(LISTES!$D$5:$D$300)),1)</definedName>
    <definedName name="L_STATUTS_CAMPAGNE">OFFSET(LISTES!$Z$5,0,0,MAX(1,COUNTA(LISTES!$Z$5:$Z$300)),1)</definedName>
    <definedName name="L_STATUTS_SEANCE">OFFSET(LISTES!$O$5,0,0,MAX(1,COUNTA(LISTES!$O$5:$O$300)),1)</definedName>
    <definedName name="L_TYPES">OFFSET(TYPES_ACTIVITE!$A$5,0,0,MAX(1,COUNTA(TYPES_ACTIVITE!$A$5:$A$300)),1)</definedName>
    <definedName name="L_TYPES_PERTE">OFFSET(LISTES!$X$5,0,0,MAX(1,COUNTA(LISTES!$X$5:$X$300)),1)</definedName>
    <definedName name="_xlnm.Print_Area" localSheetId="30">RECU!$A$1:$C$21</definedName>
    <definedName name="_xlnm.Print_Titles" localSheetId="21">COTISATIONS!$1:$8</definedName>
    <definedName name="_xlnm.Print_Titles" localSheetId="8">ELECTEURS!$1:$8</definedName>
    <definedName name="_xlnm.Print_Titles" localSheetId="7">FICHE_APPEL!$1:$8</definedName>
    <definedName name="_xlnm.Print_Titles" localSheetId="26">SUIVI_BUDGET!$1:$8</definedName>
    <definedName name="_xlnm.Print_Titles" localSheetId="23">SUIVI_CAMPAGNE!$1:$8</definedName>
  </definedNames>
  <calcPr calcId="124519" fullCalcOnLoad="1"/>
</workbook>
</file>

<file path=xl/sharedStrings.xml><?xml version="1.0" encoding="utf-8"?>
<sst xmlns="http://schemas.openxmlformats.org/spreadsheetml/2006/main" count="1339" uniqueCount="757">
  <si>
    <t>Chorale</t>
  </si>
  <si>
    <t>Si les boutons ne répondent pas, activez les macros (voir la notice d'installation).</t>
  </si>
  <si>
    <t>SESSION</t>
  </si>
  <si>
    <t>Rôle :</t>
  </si>
  <si>
    <t>Session :</t>
  </si>
  <si>
    <t>Non connecté</t>
  </si>
  <si>
    <t>MENU</t>
  </si>
  <si>
    <t>ALERTES DU JOUR</t>
  </si>
  <si>
    <t xml:space="preserve">  Membres de la chorale</t>
  </si>
  <si>
    <t>Matricule</t>
  </si>
  <si>
    <t>Nom</t>
  </si>
  <si>
    <t>Prénoms</t>
  </si>
  <si>
    <t>Sexe</t>
  </si>
  <si>
    <t>Date de naissance</t>
  </si>
  <si>
    <t>Lieu de naissance</t>
  </si>
  <si>
    <t>Téléphone</t>
  </si>
  <si>
    <t>WhatsApp</t>
  </si>
  <si>
    <t>Adresse / Quartier</t>
  </si>
  <si>
    <t>Personne à prévenir</t>
  </si>
  <si>
    <t>Tél. personne à prévenir</t>
  </si>
  <si>
    <t>Paroisse d'origine</t>
  </si>
  <si>
    <t>Date de baptême</t>
  </si>
  <si>
    <t>Chorale d'origine</t>
  </si>
  <si>
    <t>Date d'arrivée</t>
  </si>
  <si>
    <t>Date de réception</t>
  </si>
  <si>
    <t>Pupitre</t>
  </si>
  <si>
    <t>Instrument</t>
  </si>
  <si>
    <t>Commission(s)</t>
  </si>
  <si>
    <t>Fonction au Bureau</t>
  </si>
  <si>
    <t>Situation matrimoniale</t>
  </si>
  <si>
    <t>Conjoint</t>
  </si>
  <si>
    <t>Nombre d'enfants</t>
  </si>
  <si>
    <t>Statut</t>
  </si>
  <si>
    <t>Date du statut</t>
  </si>
  <si>
    <t>Observations</t>
  </si>
  <si>
    <t xml:space="preserve">  Nouveaux choristes : dossiers d'adhésion (art. 26 à 28)</t>
  </si>
  <si>
    <t>N° dossier</t>
  </si>
  <si>
    <t>Nom et prénoms</t>
  </si>
  <si>
    <t>Catégorie d'entrée</t>
  </si>
  <si>
    <t>Début d'observation</t>
  </si>
  <si>
    <t>Fin prévue</t>
  </si>
  <si>
    <t>Séances attendues</t>
  </si>
  <si>
    <t>Taux d'assiduité</t>
  </si>
  <si>
    <t>01 · Règlement intérieur lu et approuvé</t>
  </si>
  <si>
    <t>02 · Cotisations à jour</t>
  </si>
  <si>
    <t>03 · Lettre de recommandation</t>
  </si>
  <si>
    <t>04 · Bible</t>
  </si>
  <si>
    <t>05 · Cantiques de l'EEC</t>
  </si>
  <si>
    <t>06 · Cahier de chant</t>
  </si>
  <si>
    <t>07 · Guide biblique</t>
  </si>
  <si>
    <t>08 · Brochure des versets</t>
  </si>
  <si>
    <t>09 · Chaise plastique</t>
  </si>
  <si>
    <t>10 · Gobelet</t>
  </si>
  <si>
    <t>11 · Fourchette</t>
  </si>
  <si>
    <t>12 · Cuillère</t>
  </si>
  <si>
    <t>13 · Tenue noir-blanc</t>
  </si>
  <si>
    <t>14 · Tenue blanc-blanc</t>
  </si>
  <si>
    <t>15 · (libre)</t>
  </si>
  <si>
    <t>Éléments manquants</t>
  </si>
  <si>
    <t>Proposition</t>
  </si>
  <si>
    <t>Décision</t>
  </si>
  <si>
    <t>Motif</t>
  </si>
  <si>
    <t>Nouvelle fin d'observation</t>
  </si>
  <si>
    <t>Officiant</t>
  </si>
  <si>
    <t>Kit transféré</t>
  </si>
  <si>
    <t>Statut du dossier</t>
  </si>
  <si>
    <t xml:space="preserve">  Calendrier des séances</t>
  </si>
  <si>
    <t>ID séance</t>
  </si>
  <si>
    <t>Date</t>
  </si>
  <si>
    <t>Jour</t>
  </si>
  <si>
    <t>Type</t>
  </si>
  <si>
    <t>Libellé</t>
  </si>
  <si>
    <t>Heure de début</t>
  </si>
  <si>
    <t>Heure de fin</t>
  </si>
  <si>
    <t>Lieu</t>
  </si>
  <si>
    <t>Thème / Observations</t>
  </si>
  <si>
    <t>Pointée</t>
  </si>
  <si>
    <t>Présents</t>
  </si>
  <si>
    <t>Taux de la séance</t>
  </si>
  <si>
    <t xml:space="preserve">  Pointage d'une séance</t>
  </si>
  <si>
    <t>Code</t>
  </si>
  <si>
    <t>Statut du membre</t>
  </si>
  <si>
    <t>Séance :</t>
  </si>
  <si>
    <t>Choisissez une séance (ou « Prochaine séance à pointer »), chargez-la, corrigez les codes puis validez.</t>
  </si>
  <si>
    <t>Codes : P présent · R retard · RX retard &gt; 15 min · DA départ anticipé · AJ absent justifié (motif) · ANJ absent non justifié · NC non concerné</t>
  </si>
  <si>
    <t xml:space="preserve">  Historique des présences (alimenté par le pointage)</t>
  </si>
  <si>
    <t>Pénalité (FCFA)</t>
  </si>
  <si>
    <t>Saisi le</t>
  </si>
  <si>
    <t>Saisi par</t>
  </si>
  <si>
    <t xml:space="preserve">  Taux de participation</t>
  </si>
  <si>
    <t>Rang</t>
  </si>
  <si>
    <t>P</t>
  </si>
  <si>
    <t>R</t>
  </si>
  <si>
    <t>RX</t>
  </si>
  <si>
    <t>DA</t>
  </si>
  <si>
    <t>AJ</t>
  </si>
  <si>
    <t>ANJ</t>
  </si>
  <si>
    <t>NC</t>
  </si>
  <si>
    <t>Autres</t>
  </si>
  <si>
    <t>Taux</t>
  </si>
  <si>
    <t>Appréciation</t>
  </si>
  <si>
    <t>Du :</t>
  </si>
  <si>
    <t>au :</t>
  </si>
  <si>
    <t>Type :</t>
  </si>
  <si>
    <t>TOUS</t>
  </si>
  <si>
    <t>Groupe :</t>
  </si>
  <si>
    <t>Séances :</t>
  </si>
  <si>
    <t>Taux = (P + R + DA × poids) ÷ séances attendues, hors AJ et NC. TOUS = types qui comptent dans le taux.</t>
  </si>
  <si>
    <t xml:space="preserve">  Fiche d'appel</t>
  </si>
  <si>
    <t>N°</t>
  </si>
  <si>
    <t>Observations / signature</t>
  </si>
  <si>
    <t xml:space="preserve">  Liste électorale</t>
  </si>
  <si>
    <t>Émargement</t>
  </si>
  <si>
    <t xml:space="preserve">  Patrimoine (version de base - complétée au lot 3)</t>
  </si>
  <si>
    <t>Désignation</t>
  </si>
  <si>
    <t>Catégorie</t>
  </si>
  <si>
    <t>Quantité</t>
  </si>
  <si>
    <t>Unité</t>
  </si>
  <si>
    <t>Date d'acquisition</t>
  </si>
  <si>
    <t>Mode d'acquisition</t>
  </si>
  <si>
    <t>Origine / Donateur</t>
  </si>
  <si>
    <t>Valeur unitaire (FCFA)</t>
  </si>
  <si>
    <t>Valeur totale (FCFA)</t>
  </si>
  <si>
    <t>État</t>
  </si>
  <si>
    <t>Localisation</t>
  </si>
  <si>
    <t>Gardien</t>
  </si>
  <si>
    <t xml:space="preserve">  Paramètres</t>
  </si>
  <si>
    <t>Clé</t>
  </si>
  <si>
    <t>Valeur</t>
  </si>
  <si>
    <t>Description</t>
  </si>
  <si>
    <t>Identité du groupe</t>
  </si>
  <si>
    <t>NOM_GROUPE</t>
  </si>
  <si>
    <t>Chorale Amour du Cœur</t>
  </si>
  <si>
    <t>Nom affiché sur l'accueil et les rapports</t>
  </si>
  <si>
    <t>SIGLE</t>
  </si>
  <si>
    <t>ADC</t>
  </si>
  <si>
    <t>Préfixe des matricules (ex. ADC-0001)</t>
  </si>
  <si>
    <t>EGLISE</t>
  </si>
  <si>
    <t>Église Évangélique du Congo</t>
  </si>
  <si>
    <t>CONSISTOIRE</t>
  </si>
  <si>
    <t>Consistoire de Pointe-Noire II</t>
  </si>
  <si>
    <t>PAROISSE</t>
  </si>
  <si>
    <t>Paroisse de Tchimbambouka</t>
  </si>
  <si>
    <t>DEVISE</t>
  </si>
  <si>
    <t>Unis, pour annoncer la Bonne Nouvelle de Jésus-Christ</t>
  </si>
  <si>
    <t>ADRESSE</t>
  </si>
  <si>
    <t>Siège : Paroisse de Tchimbambouka</t>
  </si>
  <si>
    <t>DATE_CREATION</t>
  </si>
  <si>
    <t>Date de création du groupe</t>
  </si>
  <si>
    <t>Exercice</t>
  </si>
  <si>
    <t>MOIS_DEBUT_EXERCICE</t>
  </si>
  <si>
    <t>Mois de début de l'exercice (1 = janvier)</t>
  </si>
  <si>
    <t>MONNAIE</t>
  </si>
  <si>
    <t>FCFA</t>
  </si>
  <si>
    <t>COTISATION_MENSUELLE</t>
  </si>
  <si>
    <t>Cotisation statutaire mensuelle (art. 39) - utilisée au lot 2</t>
  </si>
  <si>
    <t>Présences</t>
  </si>
  <si>
    <t>MOIS_REFROIDI</t>
  </si>
  <si>
    <t>Absence sans justification (en mois) avant l'alerte « refroidi » (art. 52 : 1 mois)</t>
  </si>
  <si>
    <t>SEUIL_VERT</t>
  </si>
  <si>
    <t>Taux à partir duquel un membre est « assidu » (vert)</t>
  </si>
  <si>
    <t>SEUIL_ORANGE</t>
  </si>
  <si>
    <t>Taux à partir duquel un membre est « moyen » (orange) ; en dessous : rouge</t>
  </si>
  <si>
    <t>MOIS_ELECTEUR</t>
  </si>
  <si>
    <t>Présence régulière minimale (mois) pour être électeur (art. 21)</t>
  </si>
  <si>
    <t>SEUIL_ELECTEUR</t>
  </si>
  <si>
    <t>Taux minimal sur cette période pour être électeur</t>
  </si>
  <si>
    <t>Nouveaux choristes</t>
  </si>
  <si>
    <t>DUREE_OBSERVATION_MOIS</t>
  </si>
  <si>
    <t>Durée de la période d'observation (art. 26)</t>
  </si>
  <si>
    <t>SEUIL_ASSIDUITE_ADHESION</t>
  </si>
  <si>
    <t>Taux minimal pendant l'observation pour proposer la confirmation</t>
  </si>
  <si>
    <t>JOURS_ALERTE_OBSERVATION</t>
  </si>
  <si>
    <t>Alerte quand une observation se termine dans ce nombre de jours</t>
  </si>
  <si>
    <t>Finances (lot 2)</t>
  </si>
  <si>
    <t>DATE_OUVERTURE_COMPTES</t>
  </si>
  <si>
    <t>Date des soldes d'ouverture ci-dessous</t>
  </si>
  <si>
    <t>SOLDE_OUVERTURE_ESPECES</t>
  </si>
  <si>
    <t>Solde de la caisse en espèces à la date d'ouverture</t>
  </si>
  <si>
    <t>SOLDE_OUVERTURE_BANQUE</t>
  </si>
  <si>
    <t>Solde du compte bancaire à la date d'ouverture</t>
  </si>
  <si>
    <t>SOLDE_OUVERTURE_SOCIAL</t>
  </si>
  <si>
    <t>Part de ces soldes appartenant à la caisse sociale</t>
  </si>
  <si>
    <t>DEBUT_SUIVI_COTISATIONS</t>
  </si>
  <si>
    <t>Les cotisations sont dues à partir de ce mois</t>
  </si>
  <si>
    <t>SEUIL_AUTORISATION</t>
  </si>
  <si>
    <t>Dépense à partir de laquelle l'autorisation du Bureau est obligatoire (art. 16-5)</t>
  </si>
  <si>
    <t>SEUIL_ECART_BUDGET</t>
  </si>
  <si>
    <t>Écart prévu/réalisé signalé en couleur au-delà de ce pourcentage</t>
  </si>
  <si>
    <t>MOIS_ALERTE_ARRIERES</t>
  </si>
  <si>
    <t>Alerte quand un membre a au moins ce nombre de mois d'arriérés</t>
  </si>
  <si>
    <t>JOURS_ALERTE_ARRETE</t>
  </si>
  <si>
    <t>Alerte quand le dernier arrêté de caisse date de plus de ce nombre de jours</t>
  </si>
  <si>
    <t>PREFIXE_RECU</t>
  </si>
  <si>
    <t>REC</t>
  </si>
  <si>
    <t>Reçus numérotés PREFIXE-AAAA-0001</t>
  </si>
  <si>
    <t>CODE_COTISATION</t>
  </si>
  <si>
    <t>R01.1</t>
  </si>
  <si>
    <t>Rubrique des cotisations mensuelles</t>
  </si>
  <si>
    <t>CODE_PENALITES</t>
  </si>
  <si>
    <t>R06.1</t>
  </si>
  <si>
    <t>Rubrique des pénalités de retard</t>
  </si>
  <si>
    <t>CODE_CAMPAGNE</t>
  </si>
  <si>
    <t>R03.1</t>
  </si>
  <si>
    <t>Rubrique par défaut des cotisations spéciales</t>
  </si>
  <si>
    <t>CODE_CONTRIB_SOCIALE</t>
  </si>
  <si>
    <t>S01.1</t>
  </si>
  <si>
    <t>Rubrique des contributions aux événements sociaux</t>
  </si>
  <si>
    <t>CODE_AIDE_SOCIALE</t>
  </si>
  <si>
    <t>T01.1</t>
  </si>
  <si>
    <t>Rubrique des aides versées par la caisse sociale</t>
  </si>
  <si>
    <t>CODE_MANQUANT</t>
  </si>
  <si>
    <t>D10.2</t>
  </si>
  <si>
    <t>Rubrique des manquants de caisse</t>
  </si>
  <si>
    <t>CODE_EXCEDENT</t>
  </si>
  <si>
    <t>R09.2</t>
  </si>
  <si>
    <t>Rubrique des excédents de caisse</t>
  </si>
  <si>
    <t>CODE_REMBOURSEMENT</t>
  </si>
  <si>
    <t>R09.3</t>
  </si>
  <si>
    <t>Rubrique des remboursements (art. 51)</t>
  </si>
  <si>
    <t>EXERCICES_CLOTURES</t>
  </si>
  <si>
    <t>Mis à jour par la clôture d'exercice</t>
  </si>
  <si>
    <t>Sécurité et sauvegardes</t>
  </si>
  <si>
    <t>MASQUER_MDP</t>
  </si>
  <si>
    <t>OUI</t>
  </si>
  <si>
    <t>Masquer la saisie des mots de passe (mettre NON en cas de problème d'affichage)</t>
  </si>
  <si>
    <t>LONGUEUR_MIN_MDP</t>
  </si>
  <si>
    <t>Longueur minimale d'un mot de passe</t>
  </si>
  <si>
    <t>RAPPEL_SAUVEGARDE_JOURS</t>
  </si>
  <si>
    <t>Rappel de sauvegarde à la fermeture après ce nombre de jours (0 = jamais)</t>
  </si>
  <si>
    <t>DOSSIER_SAUVEGARDE</t>
  </si>
  <si>
    <t>Dossier des copies (vide = sous-dossier « Sauvegardes » à côté du fichier)</t>
  </si>
  <si>
    <t>DERNIERE_SAUVEGARDE</t>
  </si>
  <si>
    <t>Mis à jour automatiquement</t>
  </si>
  <si>
    <t>Apparence (bouton « Thème et couleurs »)</t>
  </si>
  <si>
    <t>THEME</t>
  </si>
  <si>
    <t>Vert</t>
  </si>
  <si>
    <t>COULEUR_PRINCIPALE</t>
  </si>
  <si>
    <t>#1E7B4A</t>
  </si>
  <si>
    <t>Bandeaux, en-têtes, boutons</t>
  </si>
  <si>
    <t>COULEUR_SECONDAIRE</t>
  </si>
  <si>
    <t>#E8F3EC</t>
  </si>
  <si>
    <t>Fonds clairs</t>
  </si>
  <si>
    <t>COULEUR_ACCENT</t>
  </si>
  <si>
    <t>#C8102E</t>
  </si>
  <si>
    <t>Actions importantes et alertes</t>
  </si>
  <si>
    <t>Système (ne pas modifier)</t>
  </si>
  <si>
    <t>UI_VERSION</t>
  </si>
  <si>
    <t>Version de l'interface construite</t>
  </si>
  <si>
    <t>PREMIERE_OUVERTURE</t>
  </si>
  <si>
    <t>Affiche le message d'accueil à la première ouverture</t>
  </si>
  <si>
    <t xml:space="preserve">  Listes de choix</t>
  </si>
  <si>
    <t>Soprano</t>
  </si>
  <si>
    <t>Alto</t>
  </si>
  <si>
    <t>Ténor</t>
  </si>
  <si>
    <t>Basse</t>
  </si>
  <si>
    <t>Instrumentiste</t>
  </si>
  <si>
    <t>Direction (maître de chant)</t>
  </si>
  <si>
    <t>Commission</t>
  </si>
  <si>
    <t>Organisation</t>
  </si>
  <si>
    <t>Intercession</t>
  </si>
  <si>
    <t>Musicale</t>
  </si>
  <si>
    <t>Discipline</t>
  </si>
  <si>
    <t>Recettes</t>
  </si>
  <si>
    <t>Matériels</t>
  </si>
  <si>
    <t>Culturelle</t>
  </si>
  <si>
    <t>Sociale</t>
  </si>
  <si>
    <t>Cuisine</t>
  </si>
  <si>
    <t>Réflexion</t>
  </si>
  <si>
    <t>1er Responsable</t>
  </si>
  <si>
    <t>Vice-Responsable</t>
  </si>
  <si>
    <t>Secrétaire Général</t>
  </si>
  <si>
    <t>Secrétaire Général Adjoint</t>
  </si>
  <si>
    <t>Secrétaire aux Finances</t>
  </si>
  <si>
    <t>Secrétaire aux Patrimoines</t>
  </si>
  <si>
    <t>Secrétaire chargé à l'Évangélisation et Mission</t>
  </si>
  <si>
    <t>En observation</t>
  </si>
  <si>
    <t>Choriste confirmé</t>
  </si>
  <si>
    <t>Refroidi</t>
  </si>
  <si>
    <t>Suspendu</t>
  </si>
  <si>
    <t>Exclu temporaire</t>
  </si>
  <si>
    <t>Démissionnaire</t>
  </si>
  <si>
    <t>Exclu définitif</t>
  </si>
  <si>
    <t>Transféré</t>
  </si>
  <si>
    <t>Décédé</t>
  </si>
  <si>
    <t>Non retenu</t>
  </si>
  <si>
    <t>Pointage</t>
  </si>
  <si>
    <t>NON</t>
  </si>
  <si>
    <t>Code par défaut</t>
  </si>
  <si>
    <t>Cotisation</t>
  </si>
  <si>
    <t>F</t>
  </si>
  <si>
    <t>M</t>
  </si>
  <si>
    <t>Célibataire</t>
  </si>
  <si>
    <t>Marié(e)</t>
  </si>
  <si>
    <t>Fiancé(e)</t>
  </si>
  <si>
    <t>Veuf(ve)</t>
  </si>
  <si>
    <t>Divorcé(e)</t>
  </si>
  <si>
    <t>Baptisé - nouveau membre</t>
  </si>
  <si>
    <t>Catéchumène (après baptême)</t>
  </si>
  <si>
    <t>Transfert d'une autre chorale EEC</t>
  </si>
  <si>
    <t>Confirmer</t>
  </si>
  <si>
    <t>Prolonger</t>
  </si>
  <si>
    <t>Refuser</t>
  </si>
  <si>
    <t>Oui/Non</t>
  </si>
  <si>
    <t>Oui/Non/NA</t>
  </si>
  <si>
    <t>N/A</t>
  </si>
  <si>
    <t>Statut de séance</t>
  </si>
  <si>
    <t>Prévue</t>
  </si>
  <si>
    <t>Tenue</t>
  </si>
  <si>
    <t>Annulée</t>
  </si>
  <si>
    <t>Catégorie de patrimoine</t>
  </si>
  <si>
    <t>Administration</t>
  </si>
  <si>
    <t>Matériel de musique</t>
  </si>
  <si>
    <t>Informatique</t>
  </si>
  <si>
    <t>Mobilier</t>
  </si>
  <si>
    <t>Cuisine et kit de sortie</t>
  </si>
  <si>
    <t>Tenues et textiles</t>
  </si>
  <si>
    <t>Immobilier</t>
  </si>
  <si>
    <t>État du bien</t>
  </si>
  <si>
    <t>Neuf</t>
  </si>
  <si>
    <t>Bon</t>
  </si>
  <si>
    <t>Usé</t>
  </si>
  <si>
    <t>À réparer</t>
  </si>
  <si>
    <t>Hors service</t>
  </si>
  <si>
    <t>Perdu</t>
  </si>
  <si>
    <t>Volé</t>
  </si>
  <si>
    <t>Cédé</t>
  </si>
  <si>
    <t>Achat</t>
  </si>
  <si>
    <t>Don</t>
  </si>
  <si>
    <t>Legs</t>
  </si>
  <si>
    <t>Kit nouveau choriste</t>
  </si>
  <si>
    <t>Fabrication</t>
  </si>
  <si>
    <t>Autre</t>
  </si>
  <si>
    <t>Applicable à</t>
  </si>
  <si>
    <t>TRANSFERT</t>
  </si>
  <si>
    <t>Caisse</t>
  </si>
  <si>
    <t>Espèces</t>
  </si>
  <si>
    <t>Banque</t>
  </si>
  <si>
    <t>Opération</t>
  </si>
  <si>
    <t>Recette</t>
  </si>
  <si>
    <t>Dépense</t>
  </si>
  <si>
    <t>Virement</t>
  </si>
  <si>
    <t>Sens</t>
  </si>
  <si>
    <t>Fonds</t>
  </si>
  <si>
    <t>GENERAL</t>
  </si>
  <si>
    <t>SOCIAL</t>
  </si>
  <si>
    <t>Type de perte</t>
  </si>
  <si>
    <t>Manquant de caisse</t>
  </si>
  <si>
    <t>Cotisation irrécouvrable</t>
  </si>
  <si>
    <t>Matériel perdu ou détérioré</t>
  </si>
  <si>
    <t>Malversation (art. 51)</t>
  </si>
  <si>
    <t>Nature d'événement</t>
  </si>
  <si>
    <t>Heureux</t>
  </si>
  <si>
    <t>Malheureux</t>
  </si>
  <si>
    <t>Statut de campagne</t>
  </si>
  <si>
    <t>Ouverte</t>
  </si>
  <si>
    <t>Clôturée</t>
  </si>
  <si>
    <t>Filtre de type</t>
  </si>
  <si>
    <t xml:space="preserve">  Types d'activités (jours : LUN MAR MER JEU VEN SAM DIM, séparés par ;)</t>
  </si>
  <si>
    <t>Jours</t>
  </si>
  <si>
    <t>Compte dans le taux</t>
  </si>
  <si>
    <t>Actif</t>
  </si>
  <si>
    <t>REP</t>
  </si>
  <si>
    <t>Répétition</t>
  </si>
  <si>
    <t>MER;SAM</t>
  </si>
  <si>
    <t>18:00</t>
  </si>
  <si>
    <t>20:30</t>
  </si>
  <si>
    <t>CULTE</t>
  </si>
  <si>
    <t>Culte</t>
  </si>
  <si>
    <t>DIM</t>
  </si>
  <si>
    <t>EVANG</t>
  </si>
  <si>
    <t>Sortie d'évangélisation</t>
  </si>
  <si>
    <t>VEIL</t>
  </si>
  <si>
    <t>Veillée de prière</t>
  </si>
  <si>
    <t>REUN</t>
  </si>
  <si>
    <t>Réunion / Assemblée générale</t>
  </si>
  <si>
    <t>ETUDE</t>
  </si>
  <si>
    <t>Étude biblique</t>
  </si>
  <si>
    <t>AUTRE</t>
  </si>
  <si>
    <t>Autre activité</t>
  </si>
  <si>
    <t xml:space="preserve">  Codes de pointage</t>
  </si>
  <si>
    <t>Poids dans le taux</t>
  </si>
  <si>
    <t>Exclu du calcul</t>
  </si>
  <si>
    <t>Motif obligatoire</t>
  </si>
  <si>
    <t>Présent</t>
  </si>
  <si>
    <t>Retard</t>
  </si>
  <si>
    <t>Retard de plus de 15 min, non admis (art. 50)</t>
  </si>
  <si>
    <t>Départ anticipé</t>
  </si>
  <si>
    <t>Absent justifié</t>
  </si>
  <si>
    <t>Absent non justifié</t>
  </si>
  <si>
    <t>Non concerné (suspendu, malade de longue durée, voyage)</t>
  </si>
  <si>
    <t xml:space="preserve">  Liste de contrôle avant la réception officielle (15 éléments maximum)</t>
  </si>
  <si>
    <t>Élément</t>
  </si>
  <si>
    <t>Groupe</t>
  </si>
  <si>
    <t>Obligatoire</t>
  </si>
  <si>
    <t>Va au patrimoine</t>
  </si>
  <si>
    <t>Valeur unitaire estimée (FCFA)</t>
  </si>
  <si>
    <t>Règlement intérieur lu et approuvé</t>
  </si>
  <si>
    <t>Administratif</t>
  </si>
  <si>
    <t>Cotisations à jour</t>
  </si>
  <si>
    <t>Lettre de recommandation</t>
  </si>
  <si>
    <t>Bible</t>
  </si>
  <si>
    <t>Matériel de travail</t>
  </si>
  <si>
    <t>Cantiques de l'EEC</t>
  </si>
  <si>
    <t>Cahier de chant</t>
  </si>
  <si>
    <t>Guide biblique</t>
  </si>
  <si>
    <t>Brochure des versets</t>
  </si>
  <si>
    <t>Chaise plastique</t>
  </si>
  <si>
    <t>Kit de table</t>
  </si>
  <si>
    <t>Gobelet</t>
  </si>
  <si>
    <t>Fourchette</t>
  </si>
  <si>
    <t>Cuillère</t>
  </si>
  <si>
    <t>Tenue noir-blanc</t>
  </si>
  <si>
    <t>Tenue officielle</t>
  </si>
  <si>
    <t>Tenue blanc-blanc</t>
  </si>
  <si>
    <t xml:space="preserve">  Utilisateurs et rôles</t>
  </si>
  <si>
    <t>Rôle</t>
  </si>
  <si>
    <t>Titulaire</t>
  </si>
  <si>
    <t>Doit changer le mot de passe</t>
  </si>
  <si>
    <t>Assure l'intérim de</t>
  </si>
  <si>
    <t>Début de l'intérim</t>
  </si>
  <si>
    <t>Fin de l'intérim</t>
  </si>
  <si>
    <t>Dernière connexion</t>
  </si>
  <si>
    <t>ADMIN</t>
  </si>
  <si>
    <t>Administrateur</t>
  </si>
  <si>
    <t>RESP1</t>
  </si>
  <si>
    <t>VICE</t>
  </si>
  <si>
    <t>SG</t>
  </si>
  <si>
    <t>SGA</t>
  </si>
  <si>
    <t>FIN</t>
  </si>
  <si>
    <t>PAT</t>
  </si>
  <si>
    <t>EVA</t>
  </si>
  <si>
    <t>Secrétaire à l'Évangélisation</t>
  </si>
  <si>
    <t>CONS</t>
  </si>
  <si>
    <t>Consultation (conseiller paroissial)</t>
  </si>
  <si>
    <t xml:space="preserve">  Journal des actions</t>
  </si>
  <si>
    <t>Date et heure</t>
  </si>
  <si>
    <t>Feuille</t>
  </si>
  <si>
    <t>Action</t>
  </si>
  <si>
    <t>Détail</t>
  </si>
  <si>
    <t xml:space="preserve">  Droits par rôle (M = modifier, L = consulter, - = masqué)</t>
  </si>
  <si>
    <t>Module</t>
  </si>
  <si>
    <t>PARAM</t>
  </si>
  <si>
    <t>Paramètres et personnalisation</t>
  </si>
  <si>
    <t>L</t>
  </si>
  <si>
    <t>-</t>
  </si>
  <si>
    <t>USERS</t>
  </si>
  <si>
    <t>Utilisateurs et mots de passe</t>
  </si>
  <si>
    <t>MEMBRES</t>
  </si>
  <si>
    <t>Membres et nouveaux choristes</t>
  </si>
  <si>
    <t>PRESENCES</t>
  </si>
  <si>
    <t>Présences et taux</t>
  </si>
  <si>
    <t>FINANCES</t>
  </si>
  <si>
    <t>Finances, budget, caisses (lot 2)</t>
  </si>
  <si>
    <t>COTISATIONS</t>
  </si>
  <si>
    <t>Cotisations et pénalités (lot 2)</t>
  </si>
  <si>
    <t>Caisse sociale (lot 2)</t>
  </si>
  <si>
    <t>PATRIMOINE</t>
  </si>
  <si>
    <t>Patrimoine, prêts et locations</t>
  </si>
  <si>
    <t>DISCIPLINE</t>
  </si>
  <si>
    <t>Discipline et sanctions (lot 4)</t>
  </si>
  <si>
    <t>PLANNING</t>
  </si>
  <si>
    <t>Planning des activités (lot 4)</t>
  </si>
  <si>
    <t>MANDATS</t>
  </si>
  <si>
    <t>Mandats, élections, liste électorale</t>
  </si>
  <si>
    <t>CANTIQUES</t>
  </si>
  <si>
    <t>Cantiques et vie spirituelle (lot 4)</t>
  </si>
  <si>
    <t>RAPPORTS</t>
  </si>
  <si>
    <t>Tableaux de bord et rapports (lot 5)</t>
  </si>
  <si>
    <t>JOURNAL</t>
  </si>
  <si>
    <t>Journal des actions</t>
  </si>
  <si>
    <t xml:space="preserve">  Sécurité</t>
  </si>
  <si>
    <t>Sel</t>
  </si>
  <si>
    <t>Empreinte</t>
  </si>
  <si>
    <t>75F8D4F7C8FC8EEB</t>
  </si>
  <si>
    <t>D4F3CC49AFAF3F3BEF5D2B45153C082C0F0A38120108882869FD2F75C69FD905</t>
  </si>
  <si>
    <t>077ABA3ECC489C62</t>
  </si>
  <si>
    <t>2AFC2722D67DCB06FE70EE3E4D0A820C1B60D57F16DDAB3F582B24BBFAC313BE</t>
  </si>
  <si>
    <t>E5EAE4C37575E68F</t>
  </si>
  <si>
    <t>A9F50DDD0FF47E7768A9A63E60548BDE5D86C166EE41A3CD1E08D22FFF3232D0</t>
  </si>
  <si>
    <t>2226EDE1C29B631E</t>
  </si>
  <si>
    <t>8CBF65F44A6BAB57646E0ACF4C975C0EE4547F39BF2DCC27BB01AAF09C7E9E5E</t>
  </si>
  <si>
    <t>BD1739ADB9DDBBEE</t>
  </si>
  <si>
    <t>2D141FEF41CCFF6824EF00623EED355ED546601D719BFE97FA644C7ADB14832F</t>
  </si>
  <si>
    <t>B6C2F64D32EFC7CF</t>
  </si>
  <si>
    <t>D30BB9E1043DC2BF1BF43B266A0374B8F9C5D547E394A3509598C5E165737669</t>
  </si>
  <si>
    <t>FC5EF8C2E314DEEA</t>
  </si>
  <si>
    <t>F85064A9C4D2F6DF6DBD53F247C470FD8EC7867C025D072F09E10B5C17DE873F</t>
  </si>
  <si>
    <t>805AB9EA68D2B270</t>
  </si>
  <si>
    <t>C0D8A8A62379F51329C624CE303CB9BEB0D904D00FC5ED2BBF04BC2A98B4EFCC</t>
  </si>
  <si>
    <t>2D015FEAB539DF16</t>
  </si>
  <si>
    <t>7CEFF3320541031EEAADC6F9135332D7C60344EAAA9F833B28EBBC8158035838</t>
  </si>
  <si>
    <t xml:space="preserve">  Journal de caisse (non modifiable : corrections par annulation)</t>
  </si>
  <si>
    <t>N° pièce</t>
  </si>
  <si>
    <t>Rubrique</t>
  </si>
  <si>
    <t>Sous-rubrique</t>
  </si>
  <si>
    <t>Tiers / Nom</t>
  </si>
  <si>
    <t>Référence</t>
  </si>
  <si>
    <t>Recette (FCFA)</t>
  </si>
  <si>
    <t>Dépense (FCFA)</t>
  </si>
  <si>
    <t>Autorisation</t>
  </si>
  <si>
    <t>N° reçu</t>
  </si>
  <si>
    <t>Pièce liée</t>
  </si>
  <si>
    <t xml:space="preserve">  Saisie d'une écriture de caisse</t>
  </si>
  <si>
    <t>Nouvelle écriture</t>
  </si>
  <si>
    <t>Soldes</t>
  </si>
  <si>
    <t>Date de l'opération (jj/mm/aaaa)</t>
  </si>
  <si>
    <t>Espèces ou Banque</t>
  </si>
  <si>
    <t>Recette, Dépense ou Virement (entre caisses)</t>
  </si>
  <si>
    <t>Sous-rubrique budgétaire (inutile pour un virement)</t>
  </si>
  <si>
    <t>Objet de l'opération</t>
  </si>
  <si>
    <t>Membre (matricule) ou tiers</t>
  </si>
  <si>
    <t>Matricule (ex. ADC-0012) ou nom du tiers ; figure sur le reçu</t>
  </si>
  <si>
    <t>Montant (FCFA)</t>
  </si>
  <si>
    <t>Nombre entier positif</t>
  </si>
  <si>
    <t>Campagne, événement social ou perte concernés (facultatif)</t>
  </si>
  <si>
    <t>Autorisation du Bureau</t>
  </si>
  <si>
    <t>N° ou date du PV : obligatoire pour une dépense au-delà du seuil</t>
  </si>
  <si>
    <t>Caisse de destination</t>
  </si>
  <si>
    <t>Pour un virement seulement</t>
  </si>
  <si>
    <t>Total</t>
  </si>
  <si>
    <t>Dont fonds social</t>
  </si>
  <si>
    <t>Dernière pièce</t>
  </si>
  <si>
    <t>Dernier reçu</t>
  </si>
  <si>
    <t>Après « Enregistrer », l'écriture est numérotée et ne peut plus être modifiée : une erreur se corrige par « Annuler l'écriture » dans le journal.</t>
  </si>
  <si>
    <t xml:space="preserve">  Cotisations mensuelles et pénalités par membre</t>
  </si>
  <si>
    <t>Début du suivi</t>
  </si>
  <si>
    <t>Mois dus</t>
  </si>
  <si>
    <t>Montant dû</t>
  </si>
  <si>
    <t>Payé</t>
  </si>
  <si>
    <t>Reste</t>
  </si>
  <si>
    <t>Mois d'arriérés</t>
  </si>
  <si>
    <t>À jour jusqu'à</t>
  </si>
  <si>
    <t>Pénalités dues</t>
  </si>
  <si>
    <t>Pénalités payées</t>
  </si>
  <si>
    <t>Pénalités restantes</t>
  </si>
  <si>
    <t>Total à payer</t>
  </si>
  <si>
    <t>Message de relance</t>
  </si>
  <si>
    <t>Situation au :</t>
  </si>
  <si>
    <t>Recouvrement :</t>
  </si>
  <si>
    <t xml:space="preserve">  Cotisations spéciales (campagnes)</t>
  </si>
  <si>
    <t>Montant par membre (FCFA)</t>
  </si>
  <si>
    <t>Date limite</t>
  </si>
  <si>
    <t>Code rubrique</t>
  </si>
  <si>
    <t>Événement social</t>
  </si>
  <si>
    <t>Membres concernés</t>
  </si>
  <si>
    <t>Total attendu (FCFA)</t>
  </si>
  <si>
    <t>Total collecté (FCFA)</t>
  </si>
  <si>
    <t>Créée le</t>
  </si>
  <si>
    <t xml:space="preserve">  Suivi d'une campagne de cotisation</t>
  </si>
  <si>
    <t>Dernier paiement</t>
  </si>
  <si>
    <t>Campagne :</t>
  </si>
  <si>
    <t xml:space="preserve">  Caisse sociale : événements heureux et malheureux</t>
  </si>
  <si>
    <t>Type d'événement</t>
  </si>
  <si>
    <t>Nature</t>
  </si>
  <si>
    <t>Contribution par membre (FCFA)</t>
  </si>
  <si>
    <t>Campagne</t>
  </si>
  <si>
    <t>Collecté (FCFA)</t>
  </si>
  <si>
    <t>Aide prévue (FCFA)</t>
  </si>
  <si>
    <t>Aide versée (FCFA)</t>
  </si>
  <si>
    <t>Autres dépenses (FCFA)</t>
  </si>
  <si>
    <t>Solde de l'événement (FCFA)</t>
  </si>
  <si>
    <t>Affectation de la différence</t>
  </si>
  <si>
    <t>Présence de la chorale</t>
  </si>
  <si>
    <t xml:space="preserve">  Budget annuel voté en Assemblée générale (M01 = premier mois de l'exercice)</t>
  </si>
  <si>
    <t>Budget initial</t>
  </si>
  <si>
    <t>Budget rectifié</t>
  </si>
  <si>
    <t>Budget retenu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</si>
  <si>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</si>
  <si>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</si>
  <si>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</si>
  <si>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</si>
  <si>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</si>
  <si>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</si>
  <si>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</si>
  <si>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</si>
  <si>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</si>
  <si>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</si>
  <si>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</si>
  <si>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</si>
  <si>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Écart de répartition</t>
  </si>
  <si>
    <t>Réf. adoption</t>
  </si>
  <si>
    <t xml:space="preserve">  Suivi budgétaire : prévu, réalisé, écarts et variations</t>
  </si>
  <si>
    <t>Prévu annuel</t>
  </si>
  <si>
    <t>Prévu à date</t>
  </si>
  <si>
    <t>Réalisé à date</t>
  </si>
  <si>
    <t>Écart</t>
  </si>
  <si>
    <t>Écart %</t>
  </si>
  <si>
    <t>Exécution annuelle</t>
  </si>
  <si>
    <t>Réalisé du mois</t>
  </si>
  <si>
    <t>Mois précédent</t>
  </si>
  <si>
    <t>Variation %</t>
  </si>
  <si>
    <t>Réalisé N-1 à date</t>
  </si>
  <si>
    <t>Variation N/N-1 %</t>
  </si>
  <si>
    <t>Exercice :</t>
  </si>
  <si>
    <t>Jusqu'au mois n° :</t>
  </si>
  <si>
    <t>Résultat :</t>
  </si>
  <si>
    <t>Écart = réalisé - prévu à date. En rouge : recettes en retrait ou dépenses en dépassement au-delà du seuil (PARAMETRES).</t>
  </si>
  <si>
    <t xml:space="preserve">  Arrêté de caisse : comptage des espèces</t>
  </si>
  <si>
    <t>Coupure (FCFA)</t>
  </si>
  <si>
    <t>Nombre</t>
  </si>
  <si>
    <t>Billet de 10 000</t>
  </si>
  <si>
    <t>Billet de 5 000</t>
  </si>
  <si>
    <t>Billet de 2 000</t>
  </si>
  <si>
    <t>Billet de 1 000</t>
  </si>
  <si>
    <t>Billet de 500</t>
  </si>
  <si>
    <t>Pièce de 500</t>
  </si>
  <si>
    <t>Pièce de 100</t>
  </si>
  <si>
    <t>Pièce de 50</t>
  </si>
  <si>
    <t>Pièce de 25</t>
  </si>
  <si>
    <t>Pièce de 10</t>
  </si>
  <si>
    <t>Pièce de 5</t>
  </si>
  <si>
    <t>Pièce de 2</t>
  </si>
  <si>
    <t>Pièce de 1</t>
  </si>
  <si>
    <t>Total compté</t>
  </si>
  <si>
    <t>Solde théorique (livre)</t>
  </si>
  <si>
    <t>Écart (compté - livre)</t>
  </si>
  <si>
    <t>1. Comptez les billets et pièces, saisissez les nombres (cases jaunes).</t>
  </si>
  <si>
    <t>2. « Calculer le solde théorique » reprend le solde espèces du journal.</t>
  </si>
  <si>
    <t>3. « Enregistrer l'arrêté » archive le résultat et traite l'écart éventuel.</t>
  </si>
  <si>
    <t xml:space="preserve">  Historique des arrêtés de caisse et rapprochements bancaires</t>
  </si>
  <si>
    <t>Solde théorique (FCFA)</t>
  </si>
  <si>
    <t>Solde constaté (FCFA)</t>
  </si>
  <si>
    <t>Écart (FCFA)</t>
  </si>
  <si>
    <t>Pièce d'écart</t>
  </si>
  <si>
    <t xml:space="preserve">  Registre des pertes et remboursements (art. 51)</t>
  </si>
  <si>
    <t>Nom / Tiers</t>
  </si>
  <si>
    <t>Remboursé (FCFA)</t>
  </si>
  <si>
    <t>Reste (FCFA)</t>
  </si>
  <si>
    <t>Échéancier</t>
  </si>
  <si>
    <t>Reçu N° :</t>
  </si>
  <si>
    <t>Date :</t>
  </si>
  <si>
    <t>Reçu de :</t>
  </si>
  <si>
    <t>Montant (FCFA) :</t>
  </si>
  <si>
    <t>Montant en lettres :</t>
  </si>
  <si>
    <t>Objet :</t>
  </si>
  <si>
    <t>Mode de paiement :</t>
  </si>
  <si>
    <t>Pièce de caisse :</t>
  </si>
  <si>
    <t>Le Secrétaire aux Finances</t>
  </si>
  <si>
    <t>Signature :</t>
  </si>
  <si>
    <t xml:space="preserve">  Clôtures d'exercice</t>
  </si>
  <si>
    <t>Date de clôture</t>
  </si>
  <si>
    <t>Solde espèces (FCFA)</t>
  </si>
  <si>
    <t>Solde banque (FCFA)</t>
  </si>
  <si>
    <t>Dont fonds social (FCFA)</t>
  </si>
  <si>
    <t>Total recettes (FCFA)</t>
  </si>
  <si>
    <t>Total dépenses (FCFA)</t>
  </si>
  <si>
    <t>Résultat (FCFA)</t>
  </si>
  <si>
    <t>Clôturé par</t>
  </si>
  <si>
    <t xml:space="preserve">  Rubriques et sous-rubriques budgétaires</t>
  </si>
  <si>
    <t>Choix</t>
  </si>
  <si>
    <t>Cotisations statutaires</t>
  </si>
  <si>
    <t>Cotisations mensuelles</t>
  </si>
  <si>
    <t>R02.1</t>
  </si>
  <si>
    <t>Collectes et offrandes</t>
  </si>
  <si>
    <t>Collectes ordinaires</t>
  </si>
  <si>
    <t>R02.2</t>
  </si>
  <si>
    <t>Offrandes</t>
  </si>
  <si>
    <t>Cotisations spéciales</t>
  </si>
  <si>
    <t>Campagnes de cotisation</t>
  </si>
  <si>
    <t>R04.1</t>
  </si>
  <si>
    <t>Dons et legs</t>
  </si>
  <si>
    <t>Dons</t>
  </si>
  <si>
    <t>R04.2</t>
  </si>
  <si>
    <t>R05.1</t>
  </si>
  <si>
    <t>Location de matériel</t>
  </si>
  <si>
    <t>Location de matériel de musique</t>
  </si>
  <si>
    <t>Pénalités et amendes</t>
  </si>
  <si>
    <t>Pénalités de retard</t>
  </si>
  <si>
    <t>R06.2</t>
  </si>
  <si>
    <t>Autres amendes</t>
  </si>
  <si>
    <t>R07.1</t>
  </si>
  <si>
    <t>Activités productives</t>
  </si>
  <si>
    <t>Salu kia zola</t>
  </si>
  <si>
    <t>R08.1</t>
  </si>
  <si>
    <t>Subventions</t>
  </si>
  <si>
    <t>R09.1</t>
  </si>
  <si>
    <t>Autres recettes</t>
  </si>
  <si>
    <t>Recettes diverses</t>
  </si>
  <si>
    <t>Excédents de caisse</t>
  </si>
  <si>
    <t>Remboursements (art. 51)</t>
  </si>
  <si>
    <t>Caisse sociale - recettes</t>
  </si>
  <si>
    <t>Contributions aux événements sociaux</t>
  </si>
  <si>
    <t>S01.2</t>
  </si>
  <si>
    <t>Quêtes et dons sociaux</t>
  </si>
  <si>
    <t>D01.1</t>
  </si>
  <si>
    <t>Activités et évangélisation</t>
  </si>
  <si>
    <t>Sorties d'évangélisation</t>
  </si>
  <si>
    <t>D01.2</t>
  </si>
  <si>
    <t>Retraites spirituelles</t>
  </si>
  <si>
    <t>D01.3</t>
  </si>
  <si>
    <t>Études bibliques et formation</t>
  </si>
  <si>
    <t>D02.1</t>
  </si>
  <si>
    <t>Transport</t>
  </si>
  <si>
    <t>Transport des sorties</t>
  </si>
  <si>
    <t>D02.2</t>
  </si>
  <si>
    <t>Transport des deuils</t>
  </si>
  <si>
    <t>D03.1</t>
  </si>
  <si>
    <t>Tenues et uniformes</t>
  </si>
  <si>
    <t>Tenues officielles</t>
  </si>
  <si>
    <t>D04.1</t>
  </si>
  <si>
    <t>Achat de matériel</t>
  </si>
  <si>
    <t>Instruments de musique</t>
  </si>
  <si>
    <t>D04.2</t>
  </si>
  <si>
    <t>Sonorisation</t>
  </si>
  <si>
    <t>D04.3</t>
  </si>
  <si>
    <t>Mobilier et divers</t>
  </si>
  <si>
    <t>D05.1</t>
  </si>
  <si>
    <t>Entretien et réparations</t>
  </si>
  <si>
    <t>D06.1</t>
  </si>
  <si>
    <t>Assistance sociale (budget général)</t>
  </si>
  <si>
    <t>Aides exceptionnelles</t>
  </si>
  <si>
    <t>D07.1</t>
  </si>
  <si>
    <t>Cuisine et réceptions</t>
  </si>
  <si>
    <t>D08.1</t>
  </si>
  <si>
    <t>Fournitures et communication</t>
  </si>
  <si>
    <t>Fournitures</t>
  </si>
  <si>
    <t>D08.2</t>
  </si>
  <si>
    <t>Impressions</t>
  </si>
  <si>
    <t>D08.3</t>
  </si>
  <si>
    <t>Communication (crédit, internet)</t>
  </si>
  <si>
    <t>D09.1</t>
  </si>
  <si>
    <t>Frais bancaires</t>
  </si>
  <si>
    <t>D10.1</t>
  </si>
  <si>
    <t>Imprévus et autres</t>
  </si>
  <si>
    <t>Imprévus</t>
  </si>
  <si>
    <t>Manquants de caisse</t>
  </si>
  <si>
    <t>Caisse sociale - dépenses</t>
  </si>
  <si>
    <t>Aides versées (barème)</t>
  </si>
  <si>
    <t>T01.2</t>
  </si>
  <si>
    <t>Gerbes, habillement, cadeaux</t>
  </si>
  <si>
    <t>T01.3</t>
  </si>
  <si>
    <t>Transport des deuils de choristes</t>
  </si>
  <si>
    <t>T01.4</t>
  </si>
  <si>
    <t>Pension des orphelins</t>
  </si>
  <si>
    <t xml:space="preserve">  Barème de la caisse sociale (art. 20)</t>
  </si>
  <si>
    <t>Aide versée par la chorale (FCFA)</t>
  </si>
  <si>
    <t>Remarques</t>
  </si>
  <si>
    <t>Décès d'un(e) choriste</t>
  </si>
  <si>
    <t>Moitié transport vers l'inhumation, moitié pension des orphelins</t>
  </si>
  <si>
    <t>Chaque jour au lieu du deuil</t>
  </si>
  <si>
    <t>Habillement et gerbe de fleurs à la charge de la chorale</t>
  </si>
  <si>
    <t>Décès d'un proche (conjoint, enfant, père, mère)</t>
  </si>
  <si>
    <t>Caisse sociale</t>
  </si>
  <si>
    <t>2 fois</t>
  </si>
  <si>
    <t>Décès d'un frère, d'une sœur, d'un oncle sous le même toit</t>
  </si>
  <si>
    <t>Quête libre au profit du membre</t>
  </si>
  <si>
    <t>1 fois</t>
  </si>
  <si>
    <t>Hospitalisation de plus d'une semaine</t>
  </si>
  <si>
    <t>Naissance (amour en action)</t>
  </si>
  <si>
    <t>Contribution libre</t>
  </si>
  <si>
    <t>Déclaration de naissance au Bureau</t>
  </si>
  <si>
    <t>Mariage d'un membre</t>
  </si>
  <si>
    <t>Cadeau jusqu'à 200 000 FCFA</t>
  </si>
  <si>
    <t>Invitation à un mariage</t>
  </si>
  <si>
    <t>Invitation à un anniversaire</t>
  </si>
  <si>
    <t>Baptême ou bénédiction d'enfant</t>
  </si>
</sst>
</file>

<file path=xl/styles.xml><?xml version="1.0" encoding="utf-8"?>
<styleSheet xmlns="http://schemas.openxmlformats.org/spreadsheetml/2006/main">
  <numFmts count="5">
    <numFmt numFmtId="164" formatCode="dd/mm/yyyy"/>
    <numFmt numFmtId="165" formatCode="0%"/>
    <numFmt numFmtId="166" formatCode="hh:mm"/>
    <numFmt numFmtId="167" formatCode="#,##0"/>
    <numFmt numFmtId="168" formatCode="dd/mm/yyyy hh:mm"/>
  </numFmts>
  <fonts count="17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2"/>
      <color rgb="FF1E7B4A"/>
      <name val="Calibri"/>
      <family val="2"/>
      <scheme val="minor"/>
    </font>
    <font>
      <sz val="11"/>
      <color rgb="FF595959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C8102E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i/>
      <sz val="10"/>
      <color rgb="FF595959"/>
      <name val="Calibri"/>
      <family val="2"/>
      <scheme val="minor"/>
    </font>
    <font>
      <b/>
      <sz val="14"/>
      <color rgb="FF1E7B4A"/>
      <name val="Calibri"/>
      <family val="2"/>
      <scheme val="minor"/>
    </font>
    <font>
      <b/>
      <sz val="10"/>
      <color rgb="FF1E7B4A"/>
      <name val="Calibri"/>
      <family val="2"/>
      <scheme val="minor"/>
    </font>
    <font>
      <b/>
      <sz val="16"/>
      <color rgb="FF1E7B4A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E7B4A"/>
        <bgColor indexed="64"/>
      </patternFill>
    </fill>
    <fill>
      <patternFill patternType="solid">
        <fgColor rgb="FFFFF299"/>
        <bgColor indexed="64"/>
      </patternFill>
    </fill>
    <fill>
      <patternFill patternType="solid">
        <fgColor rgb="FFE8F3EC"/>
        <bgColor indexed="64"/>
      </patternFill>
    </fill>
  </fills>
  <borders count="4">
    <border>
      <left/>
      <right/>
      <top/>
      <bottom/>
      <diagonal/>
    </border>
    <border>
      <left style="thin">
        <color rgb="FFBFBF00"/>
      </left>
      <right style="thin">
        <color rgb="FFBFBF00"/>
      </right>
      <top style="thin">
        <color rgb="FFBFBF00"/>
      </top>
      <bottom style="thin">
        <color rgb="FFBFBF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8" fillId="3" borderId="1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11" fillId="2" borderId="2" xfId="0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168" fontId="1" fillId="0" borderId="0" xfId="0" applyNumberFormat="1" applyFont="1" applyAlignment="1">
      <alignment vertical="center"/>
    </xf>
    <xf numFmtId="164" fontId="1" fillId="3" borderId="1" xfId="0" applyNumberFormat="1" applyFont="1" applyFill="1" applyBorder="1" applyAlignment="1">
      <alignment horizontal="center" vertical="center"/>
    </xf>
    <xf numFmtId="165" fontId="13" fillId="0" borderId="0" xfId="0" applyNumberFormat="1" applyFont="1" applyAlignment="1">
      <alignment vertical="center"/>
    </xf>
    <xf numFmtId="0" fontId="14" fillId="4" borderId="0" xfId="0" applyFont="1" applyFill="1" applyAlignment="1">
      <alignment vertical="center"/>
    </xf>
    <xf numFmtId="0" fontId="15" fillId="0" borderId="0" xfId="0" applyFont="1"/>
    <xf numFmtId="0" fontId="16" fillId="0" borderId="0" xfId="0" applyFont="1" applyAlignment="1">
      <alignment horizontal="right" vertical="center"/>
    </xf>
    <xf numFmtId="0" fontId="0" fillId="0" borderId="3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theme" Target="theme/theme1.xml"/><Relationship Id="rId36" Type="http://schemas.openxmlformats.org/officeDocument/2006/relationships/styles" Target="styles.xml"/><Relationship Id="rId37" Type="http://schemas.openxmlformats.org/officeDocument/2006/relationships/sharedStrings" Target="sharedStrings.xml"/><Relationship Id="rId38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Accueil"/>
  <dimension ref="A1:M33"/>
  <sheetViews>
    <sheetView showGridLines="0" tabSelected="1" workbookViewId="0"/>
  </sheetViews>
  <sheetFormatPr defaultRowHeight="15"/>
  <cols>
    <col min="1" max="1" width="2.7109375" customWidth="1"/>
    <col min="2" max="13" width="13.7109375" customWidth="1"/>
  </cols>
  <sheetData>
    <row r="1" spans="1:13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34" customHeight="1">
      <c r="B2" s="2" t="s">
        <v>0</v>
      </c>
    </row>
    <row r="3" spans="1:13">
      <c r="B3" s="3"/>
    </row>
    <row r="4" spans="1:13">
      <c r="B4" s="4"/>
    </row>
    <row r="5" spans="1:13">
      <c r="B5" s="5" t="s">
        <v>1</v>
      </c>
    </row>
    <row r="6" spans="1:13">
      <c r="B6" s="6" t="s">
        <v>2</v>
      </c>
    </row>
    <row r="7" spans="1:13">
      <c r="B7" s="7" t="s">
        <v>3</v>
      </c>
      <c r="D7" s="8"/>
      <c r="E7" s="8"/>
      <c r="F7" s="8"/>
    </row>
    <row r="8" spans="1:13">
      <c r="B8" s="7" t="s">
        <v>4</v>
      </c>
      <c r="D8" s="9" t="s">
        <v>5</v>
      </c>
    </row>
    <row r="9" spans="1:13">
      <c r="B9" s="6" t="s">
        <v>6</v>
      </c>
    </row>
    <row r="33" spans="2:2">
      <c r="B33" s="10" t="s">
        <v>7</v>
      </c>
    </row>
  </sheetData>
  <sheetProtection password="B542" sheet="1" objects="1" scenarios="1" formatColumns="0" formatRows="0" autoFilter="0"/>
  <mergeCells count="2">
    <mergeCell ref="A1:M1"/>
    <mergeCell ref="D7:F7"/>
  </mergeCells>
  <dataValidations count="1">
    <dataValidation type="list" allowBlank="1" showInputMessage="1" showErrorMessage="1" promptTitle="Votre rôle" prompt="Choisissez votre rôle puis cliquez sur « Se connecter »." sqref="D7">
      <formula1>L_ROLES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Membres"/>
  <dimension ref="A1:Z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1.7109375" style="9" customWidth="1"/>
    <col min="2" max="2" width="18.7109375" style="9" customWidth="1"/>
    <col min="3" max="3" width="20.7109375" style="9" customWidth="1"/>
    <col min="4" max="4" width="6.7109375" style="9" customWidth="1"/>
    <col min="5" max="5" width="12.7109375" style="11" customWidth="1"/>
    <col min="6" max="6" width="15.7109375" style="9" customWidth="1"/>
    <col min="7" max="8" width="14.7109375" style="9" customWidth="1"/>
    <col min="9" max="10" width="20.7109375" style="9" customWidth="1"/>
    <col min="11" max="11" width="14.7109375" style="9" customWidth="1"/>
    <col min="12" max="12" width="18.7109375" style="9" customWidth="1"/>
    <col min="13" max="13" width="12.7109375" style="11" customWidth="1"/>
    <col min="14" max="14" width="18.7109375" style="9" customWidth="1"/>
    <col min="15" max="16" width="12.7109375" style="11" customWidth="1"/>
    <col min="17" max="18" width="13.7109375" style="9" customWidth="1"/>
    <col min="19" max="19" width="18.7109375" style="9" customWidth="1"/>
    <col min="20" max="20" width="22.7109375" style="9" customWidth="1"/>
    <col min="21" max="21" width="14.7109375" style="9" customWidth="1"/>
    <col min="22" max="22" width="18.7109375" style="9" customWidth="1"/>
    <col min="23" max="23" width="9.7109375" style="12" customWidth="1"/>
    <col min="24" max="24" width="17.7109375" style="9" customWidth="1"/>
    <col min="25" max="25" width="12.7109375" style="11" customWidth="1"/>
    <col min="26" max="26" width="30.7109375" style="9" customWidth="1"/>
  </cols>
  <sheetData>
    <row r="1" spans="1:26" ht="30" customHeight="1">
      <c r="A1" s="13" t="s">
        <v>8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2" customHeight="1"/>
    <row r="3" spans="1:26" ht="12" customHeight="1"/>
    <row r="4" spans="1:26" ht="34" customHeight="1">
      <c r="A4" s="14" t="s">
        <v>9</v>
      </c>
      <c r="B4" s="14" t="s">
        <v>10</v>
      </c>
      <c r="C4" s="14" t="s">
        <v>11</v>
      </c>
      <c r="D4" s="14" t="s">
        <v>12</v>
      </c>
      <c r="E4" s="14" t="s">
        <v>13</v>
      </c>
      <c r="F4" s="14" t="s">
        <v>14</v>
      </c>
      <c r="G4" s="14" t="s">
        <v>15</v>
      </c>
      <c r="H4" s="14" t="s">
        <v>16</v>
      </c>
      <c r="I4" s="14" t="s">
        <v>17</v>
      </c>
      <c r="J4" s="14" t="s">
        <v>18</v>
      </c>
      <c r="K4" s="14" t="s">
        <v>19</v>
      </c>
      <c r="L4" s="14" t="s">
        <v>20</v>
      </c>
      <c r="M4" s="14" t="s">
        <v>21</v>
      </c>
      <c r="N4" s="14" t="s">
        <v>22</v>
      </c>
      <c r="O4" s="14" t="s">
        <v>23</v>
      </c>
      <c r="P4" s="14" t="s">
        <v>24</v>
      </c>
      <c r="Q4" s="14" t="s">
        <v>25</v>
      </c>
      <c r="R4" s="14" t="s">
        <v>26</v>
      </c>
      <c r="S4" s="14" t="s">
        <v>27</v>
      </c>
      <c r="T4" s="14" t="s">
        <v>28</v>
      </c>
      <c r="U4" s="14" t="s">
        <v>29</v>
      </c>
      <c r="V4" s="14" t="s">
        <v>30</v>
      </c>
      <c r="W4" s="14" t="s">
        <v>31</v>
      </c>
      <c r="X4" s="14" t="s">
        <v>32</v>
      </c>
      <c r="Y4" s="14" t="s">
        <v>33</v>
      </c>
      <c r="Z4" s="14" t="s">
        <v>34</v>
      </c>
    </row>
  </sheetData>
  <sheetProtection password="B542" sheet="1" objects="1" scenarios="1" formatColumns="0" formatRows="0" autoFilter="0"/>
  <autoFilter ref="A4:Z5"/>
  <mergeCells count="1">
    <mergeCell ref="A1:Z1"/>
  </mergeCells>
  <dataValidations count="10">
    <dataValidation type="list" errorStyle="warning" allowBlank="1" showInputMessage="1" showErrorMessage="1" error="Valeur hors liste : vérifiez la saisie." sqref="D5:D3001">
      <formula1>L_SEXE</formula1>
    </dataValidation>
    <dataValidation type="list" errorStyle="warning" allowBlank="1" showInputMessage="1" showErrorMessage="1" error="Valeur hors liste : vérifiez la saisie." sqref="Q5:Q3001">
      <formula1>L_PUPITRES</formula1>
    </dataValidation>
    <dataValidation type="list" errorStyle="warning" allowBlank="1" showInputMessage="1" showErrorMessage="1" error="Valeur hors liste : vérifiez la saisie." sqref="T5:T3001">
      <formula1>L_FONCTIONS</formula1>
    </dataValidation>
    <dataValidation type="list" errorStyle="warning" allowBlank="1" showInputMessage="1" showErrorMessage="1" error="Valeur hors liste : vérifiez la saisie." sqref="U5:U3001">
      <formula1>L_SITUATIONS</formula1>
    </dataValidation>
    <dataValidation type="list" errorStyle="warning" allowBlank="1" showInputMessage="1" showErrorMessage="1" error="Valeur hors liste : vérifiez la saisie." sqref="X5:X3001">
      <formula1>L_STATUTS</formula1>
    </dataValidation>
    <dataValidation type="date" operator="greaterThanOrEqual" allowBlank="1" showInputMessage="1" showErrorMessage="1" error="Saisissez une date (jj/mm/aaaa)." sqref="E5:E3001">
      <formula1>1</formula1>
    </dataValidation>
    <dataValidation type="date" operator="greaterThanOrEqual" allowBlank="1" showInputMessage="1" showErrorMessage="1" error="Saisissez une date (jj/mm/aaaa)." sqref="M5:M3001">
      <formula1>1</formula1>
    </dataValidation>
    <dataValidation type="date" operator="greaterThanOrEqual" allowBlank="1" showInputMessage="1" showErrorMessage="1" error="Saisissez une date (jj/mm/aaaa)." sqref="O5:O3001">
      <formula1>1</formula1>
    </dataValidation>
    <dataValidation type="date" operator="greaterThanOrEqual" allowBlank="1" showInputMessage="1" showErrorMessage="1" error="Saisissez une date (jj/mm/aaaa)." sqref="P5:P3001">
      <formula1>1</formula1>
    </dataValidation>
    <dataValidation type="date" operator="greaterThanOrEqual" allowBlank="1" showInputMessage="1" showErrorMessage="1" error="Saisissez une date (jj/mm/aaaa)." sqref="Y5:Y3001">
      <formula1>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Adhesions"/>
  <dimension ref="A1:AF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9" customWidth="1"/>
    <col min="3" max="3" width="24.7109375" style="9" customWidth="1"/>
    <col min="4" max="4" width="22.7109375" style="9" customWidth="1"/>
    <col min="5" max="6" width="12.7109375" style="11" customWidth="1"/>
    <col min="7" max="7" width="10.7109375" style="12" customWidth="1"/>
    <col min="8" max="8" width="10.7109375" style="15" customWidth="1"/>
    <col min="9" max="22" width="11.7109375" style="9" customWidth="1"/>
    <col min="23" max="23" width="0" hidden="1" customWidth="1"/>
    <col min="24" max="24" width="30.7109375" style="9" customWidth="1"/>
    <col min="25" max="25" width="26.7109375" style="9" customWidth="1"/>
    <col min="26" max="26" width="12.7109375" style="9" customWidth="1"/>
    <col min="27" max="27" width="24.7109375" style="9" customWidth="1"/>
    <col min="28" max="28" width="13.7109375" style="11" customWidth="1"/>
    <col min="29" max="29" width="12.7109375" style="11" customWidth="1"/>
    <col min="30" max="30" width="16.7109375" style="9" customWidth="1"/>
    <col min="31" max="31" width="9.7109375" style="9" customWidth="1"/>
    <col min="32" max="32" width="26.7109375" style="9" customWidth="1"/>
  </cols>
  <sheetData>
    <row r="1" spans="1:32" ht="30" customHeight="1">
      <c r="A1" s="13" t="s">
        <v>35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</row>
    <row r="2" spans="1:32" ht="22" customHeight="1"/>
    <row r="3" spans="1:32" ht="12" customHeight="1"/>
    <row r="4" spans="1:32" ht="34" customHeight="1">
      <c r="A4" s="14" t="s">
        <v>36</v>
      </c>
      <c r="B4" s="14" t="s">
        <v>9</v>
      </c>
      <c r="C4" s="14" t="s">
        <v>37</v>
      </c>
      <c r="D4" s="14" t="s">
        <v>38</v>
      </c>
      <c r="E4" s="14" t="s">
        <v>39</v>
      </c>
      <c r="F4" s="14" t="s">
        <v>40</v>
      </c>
      <c r="G4" s="14" t="s">
        <v>41</v>
      </c>
      <c r="H4" s="14" t="s">
        <v>42</v>
      </c>
      <c r="I4" s="14" t="s">
        <v>43</v>
      </c>
      <c r="J4" s="14" t="s">
        <v>44</v>
      </c>
      <c r="K4" s="14" t="s">
        <v>45</v>
      </c>
      <c r="L4" s="14" t="s">
        <v>46</v>
      </c>
      <c r="M4" s="14" t="s">
        <v>47</v>
      </c>
      <c r="N4" s="14" t="s">
        <v>48</v>
      </c>
      <c r="O4" s="14" t="s">
        <v>49</v>
      </c>
      <c r="P4" s="14" t="s">
        <v>50</v>
      </c>
      <c r="Q4" s="14" t="s">
        <v>51</v>
      </c>
      <c r="R4" s="14" t="s">
        <v>52</v>
      </c>
      <c r="S4" s="14" t="s">
        <v>53</v>
      </c>
      <c r="T4" s="14" t="s">
        <v>54</v>
      </c>
      <c r="U4" s="14" t="s">
        <v>55</v>
      </c>
      <c r="V4" s="14" t="s">
        <v>56</v>
      </c>
      <c r="W4" s="14" t="s">
        <v>57</v>
      </c>
      <c r="X4" s="14" t="s">
        <v>58</v>
      </c>
      <c r="Y4" s="14" t="s">
        <v>59</v>
      </c>
      <c r="Z4" s="14" t="s">
        <v>60</v>
      </c>
      <c r="AA4" s="14" t="s">
        <v>61</v>
      </c>
      <c r="AB4" s="14" t="s">
        <v>62</v>
      </c>
      <c r="AC4" s="14" t="s">
        <v>24</v>
      </c>
      <c r="AD4" s="14" t="s">
        <v>63</v>
      </c>
      <c r="AE4" s="14" t="s">
        <v>64</v>
      </c>
      <c r="AF4" s="14" t="s">
        <v>65</v>
      </c>
    </row>
  </sheetData>
  <sheetProtection password="B542" sheet="1" objects="1" scenarios="1" formatColumns="0" formatRows="0" autoFilter="0"/>
  <autoFilter ref="A4:AF5"/>
  <mergeCells count="1">
    <mergeCell ref="A1:AF1"/>
  </mergeCells>
  <dataValidations count="21">
    <dataValidation type="list" errorStyle="warning" allowBlank="1" showInputMessage="1" showErrorMessage="1" error="Valeur hors liste : vérifiez la saisie." sqref="D5:D3001">
      <formula1>L_CATEGORIES</formula1>
    </dataValidation>
    <dataValidation type="list" errorStyle="warning" allowBlank="1" showInputMessage="1" showErrorMessage="1" error="Valeur hors liste : vérifiez la saisie." sqref="Z5:Z3001">
      <formula1>L_DECISIONS</formula1>
    </dataValidation>
    <dataValidation type="list" errorStyle="warning" allowBlank="1" showInputMessage="1" showErrorMessage="1" error="Valeur hors liste : vérifiez la saisie." sqref="AD5:AD3001">
      <formula1>L_OFFICIANTS</formula1>
    </dataValidation>
    <dataValidation type="list" errorStyle="warning" allowBlank="1" showInputMessage="1" showErrorMessage="1" error="Valeur hors liste : vérifiez la saisie." sqref="I5:I3001">
      <formula1>L_OUINONNA</formula1>
    </dataValidation>
    <dataValidation type="list" errorStyle="warning" allowBlank="1" showInputMessage="1" showErrorMessage="1" error="Valeur hors liste : vérifiez la saisie." sqref="J5:J3001">
      <formula1>L_OUINONNA</formula1>
    </dataValidation>
    <dataValidation type="list" errorStyle="warning" allowBlank="1" showInputMessage="1" showErrorMessage="1" error="Valeur hors liste : vérifiez la saisie." sqref="K5:K3001">
      <formula1>L_OUINONNA</formula1>
    </dataValidation>
    <dataValidation type="list" errorStyle="warning" allowBlank="1" showInputMessage="1" showErrorMessage="1" error="Valeur hors liste : vérifiez la saisie." sqref="L5:L3001">
      <formula1>L_OUINONNA</formula1>
    </dataValidation>
    <dataValidation type="list" errorStyle="warning" allowBlank="1" showInputMessage="1" showErrorMessage="1" error="Valeur hors liste : vérifiez la saisie." sqref="M5:M3001">
      <formula1>L_OUINONNA</formula1>
    </dataValidation>
    <dataValidation type="list" errorStyle="warning" allowBlank="1" showInputMessage="1" showErrorMessage="1" error="Valeur hors liste : vérifiez la saisie." sqref="N5:N3001">
      <formula1>L_OUINONNA</formula1>
    </dataValidation>
    <dataValidation type="list" errorStyle="warning" allowBlank="1" showInputMessage="1" showErrorMessage="1" error="Valeur hors liste : vérifiez la saisie." sqref="O5:O3001">
      <formula1>L_OUINONNA</formula1>
    </dataValidation>
    <dataValidation type="list" errorStyle="warning" allowBlank="1" showInputMessage="1" showErrorMessage="1" error="Valeur hors liste : vérifiez la saisie." sqref="P5:P3001">
      <formula1>L_OUINONNA</formula1>
    </dataValidation>
    <dataValidation type="list" errorStyle="warning" allowBlank="1" showInputMessage="1" showErrorMessage="1" error="Valeur hors liste : vérifiez la saisie." sqref="Q5:Q3001">
      <formula1>L_OUINONNA</formula1>
    </dataValidation>
    <dataValidation type="list" errorStyle="warning" allowBlank="1" showInputMessage="1" showErrorMessage="1" error="Valeur hors liste : vérifiez la saisie." sqref="R5:R3001">
      <formula1>L_OUINONNA</formula1>
    </dataValidation>
    <dataValidation type="list" errorStyle="warning" allowBlank="1" showInputMessage="1" showErrorMessage="1" error="Valeur hors liste : vérifiez la saisie." sqref="S5:S3001">
      <formula1>L_OUINONNA</formula1>
    </dataValidation>
    <dataValidation type="list" errorStyle="warning" allowBlank="1" showInputMessage="1" showErrorMessage="1" error="Valeur hors liste : vérifiez la saisie." sqref="T5:T3001">
      <formula1>L_OUINONNA</formula1>
    </dataValidation>
    <dataValidation type="list" errorStyle="warning" allowBlank="1" showInputMessage="1" showErrorMessage="1" error="Valeur hors liste : vérifiez la saisie." sqref="U5:U3001">
      <formula1>L_OUINONNA</formula1>
    </dataValidation>
    <dataValidation type="list" errorStyle="warning" allowBlank="1" showInputMessage="1" showErrorMessage="1" error="Valeur hors liste : vérifiez la saisie." sqref="V5:V3001">
      <formula1>L_OUINONNA</formula1>
    </dataValidation>
    <dataValidation type="list" errorStyle="warning" allowBlank="1" showInputMessage="1" showErrorMessage="1" error="Valeur hors liste : vérifiez la saisie." sqref="W5:W3001">
      <formula1>L_OUINONNA</formula1>
    </dataValidation>
    <dataValidation type="date" operator="greaterThanOrEqual" allowBlank="1" showInputMessage="1" showErrorMessage="1" error="Saisissez une date (jj/mm/aaaa)." sqref="E5:E3001">
      <formula1>1</formula1>
    </dataValidation>
    <dataValidation type="date" operator="greaterThanOrEqual" allowBlank="1" showInputMessage="1" showErrorMessage="1" error="Saisissez une date (jj/mm/aaaa)." sqref="AB5:AB3001">
      <formula1>1</formula1>
    </dataValidation>
    <dataValidation type="date" operator="greaterThanOrEqual" allowBlank="1" showInputMessage="1" showErrorMessage="1" error="Saisissez une date (jj/mm/aaaa)." sqref="AC5:AC3001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Seances"/>
  <dimension ref="A1:M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7.7109375" style="9" customWidth="1"/>
    <col min="2" max="2" width="11.7109375" style="11" customWidth="1"/>
    <col min="3" max="3" width="10.7109375" style="9" customWidth="1"/>
    <col min="4" max="4" width="8.7109375" style="9" customWidth="1"/>
    <col min="5" max="5" width="24.7109375" style="9" customWidth="1"/>
    <col min="6" max="7" width="9.7109375" style="16" customWidth="1"/>
    <col min="8" max="8" width="18.7109375" style="9" customWidth="1"/>
    <col min="9" max="9" width="30.7109375" style="9" customWidth="1"/>
    <col min="10" max="10" width="10.7109375" style="9" customWidth="1"/>
    <col min="11" max="11" width="8.7109375" style="9" customWidth="1"/>
    <col min="12" max="12" width="9.7109375" style="12" customWidth="1"/>
    <col min="13" max="13" width="10.7109375" style="15" customWidth="1"/>
  </cols>
  <sheetData>
    <row r="1" spans="1:13" ht="30" customHeight="1">
      <c r="A1" s="13" t="s">
        <v>66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2" customHeight="1"/>
    <row r="3" spans="1:13" ht="12" customHeight="1"/>
    <row r="4" spans="1:13" ht="34" customHeight="1">
      <c r="A4" s="14" t="s">
        <v>67</v>
      </c>
      <c r="B4" s="14" t="s">
        <v>68</v>
      </c>
      <c r="C4" s="14" t="s">
        <v>69</v>
      </c>
      <c r="D4" s="14" t="s">
        <v>70</v>
      </c>
      <c r="E4" s="14" t="s">
        <v>71</v>
      </c>
      <c r="F4" s="14" t="s">
        <v>72</v>
      </c>
      <c r="G4" s="14" t="s">
        <v>73</v>
      </c>
      <c r="H4" s="14" t="s">
        <v>74</v>
      </c>
      <c r="I4" s="14" t="s">
        <v>75</v>
      </c>
      <c r="J4" s="14" t="s">
        <v>32</v>
      </c>
      <c r="K4" s="14" t="s">
        <v>76</v>
      </c>
      <c r="L4" s="14" t="s">
        <v>77</v>
      </c>
      <c r="M4" s="14" t="s">
        <v>78</v>
      </c>
    </row>
  </sheetData>
  <sheetProtection password="B542" sheet="1" objects="1" scenarios="1" formatColumns="0" formatRows="0" autoFilter="0"/>
  <autoFilter ref="A4:M5"/>
  <mergeCells count="1">
    <mergeCell ref="A1:M1"/>
  </mergeCells>
  <dataValidations count="3">
    <dataValidation type="list" errorStyle="warning" allowBlank="1" showInputMessage="1" showErrorMessage="1" error="Valeur hors liste : vérifiez la saisie." sqref="D5:D3001">
      <formula1>L_TYPES</formula1>
    </dataValidation>
    <dataValidation type="list" errorStyle="warning" allowBlank="1" showInputMessage="1" showErrorMessage="1" error="Valeur hors liste : vérifiez la saisie." sqref="J5:J3001">
      <formula1>L_STATUTS_SEANCE</formula1>
    </dataValidation>
    <dataValidation type="date" operator="greaterThanOrEqual" allowBlank="1" showInputMessage="1" showErrorMessage="1" error="Saisissez une date (jj/mm/aaaa)." sqref="B5:B3001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Pointage"/>
  <dimension ref="A1:H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9" customWidth="1"/>
    <col min="2" max="2" width="30.7109375" style="9" customWidth="1"/>
    <col min="3" max="3" width="14.7109375" style="9" customWidth="1"/>
    <col min="4" max="4" width="8.7109375" style="12" customWidth="1"/>
    <col min="5" max="5" width="34.7109375" style="9" customWidth="1"/>
    <col min="6" max="6" width="18.7109375" style="9" customWidth="1"/>
    <col min="8" max="8" width="20.7109375" style="5" customWidth="1"/>
  </cols>
  <sheetData>
    <row r="1" spans="1:8" ht="30" customHeight="1">
      <c r="A1" s="13" t="s">
        <v>79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82</v>
      </c>
      <c r="C5" s="17"/>
    </row>
    <row r="6" spans="1:8">
      <c r="B6" s="9"/>
      <c r="C6" s="18" t="s">
        <v>83</v>
      </c>
    </row>
    <row r="7" spans="1:8">
      <c r="A7" s="5" t="s">
        <v>84</v>
      </c>
    </row>
    <row r="8" spans="1:8">
      <c r="A8" s="14" t="s">
        <v>9</v>
      </c>
      <c r="B8" s="14" t="s">
        <v>37</v>
      </c>
      <c r="C8" s="14" t="s">
        <v>25</v>
      </c>
      <c r="D8" s="14" t="s">
        <v>80</v>
      </c>
      <c r="E8" s="14" t="s">
        <v>61</v>
      </c>
      <c r="F8" s="14" t="s">
        <v>81</v>
      </c>
    </row>
  </sheetData>
  <sheetProtection password="B542" sheet="1" objects="1" scenarios="1" formatColumns="0" formatRows="0" autoFilter="0"/>
  <mergeCells count="1">
    <mergeCell ref="A1:H1"/>
  </mergeCells>
  <dataValidations count="2">
    <dataValidation type="list" errorStyle="warning" allowBlank="1" showInputMessage="1" showErrorMessage="1" sqref="C5">
      <formula1>L_SEANCES</formula1>
    </dataValidation>
    <dataValidation type="list" allowBlank="1" showInputMessage="1" showErrorMessage="1" sqref="D9:D5001">
      <formula1>L_CODES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Presences"/>
  <dimension ref="A1:J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7.7109375" style="9" customWidth="1"/>
    <col min="2" max="2" width="11.7109375" style="11" customWidth="1"/>
    <col min="3" max="3" width="8.7109375" style="9" customWidth="1"/>
    <col min="4" max="4" width="11.7109375" style="9" customWidth="1"/>
    <col min="5" max="5" width="26.7109375" style="9" customWidth="1"/>
    <col min="6" max="6" width="7.7109375" style="9" customWidth="1"/>
    <col min="7" max="7" width="26.7109375" style="9" customWidth="1"/>
    <col min="8" max="8" width="11.7109375" style="19" customWidth="1"/>
    <col min="9" max="9" width="16.7109375" style="20" customWidth="1"/>
    <col min="10" max="10" width="22.7109375" style="9" customWidth="1"/>
  </cols>
  <sheetData>
    <row r="1" spans="1:10" ht="30" customHeight="1">
      <c r="A1" s="13" t="s">
        <v>85</v>
      </c>
      <c r="B1" s="13"/>
      <c r="C1" s="13"/>
      <c r="D1" s="13"/>
      <c r="E1" s="13"/>
      <c r="F1" s="13"/>
      <c r="G1" s="13"/>
      <c r="H1" s="13"/>
      <c r="I1" s="13"/>
      <c r="J1" s="13"/>
    </row>
    <row r="2" spans="1:10" ht="22" customHeight="1"/>
    <row r="3" spans="1:10" ht="12" customHeight="1"/>
    <row r="4" spans="1:10" ht="34" customHeight="1">
      <c r="A4" s="14" t="s">
        <v>67</v>
      </c>
      <c r="B4" s="14" t="s">
        <v>68</v>
      </c>
      <c r="C4" s="14" t="s">
        <v>70</v>
      </c>
      <c r="D4" s="14" t="s">
        <v>9</v>
      </c>
      <c r="E4" s="14" t="s">
        <v>37</v>
      </c>
      <c r="F4" s="14" t="s">
        <v>80</v>
      </c>
      <c r="G4" s="14" t="s">
        <v>61</v>
      </c>
      <c r="H4" s="14" t="s">
        <v>86</v>
      </c>
      <c r="I4" s="14" t="s">
        <v>87</v>
      </c>
      <c r="J4" s="14" t="s">
        <v>88</v>
      </c>
    </row>
  </sheetData>
  <sheetProtection password="B542" sheet="1" objects="1" scenarios="1" formatColumns="0" formatRows="0" autoFilter="0"/>
  <autoFilter ref="A4:J5"/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Taux"/>
  <dimension ref="A1:P8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6.7109375" style="12" customWidth="1"/>
    <col min="2" max="2" width="11.7109375" style="9" customWidth="1"/>
    <col min="3" max="3" width="28.7109375" style="9" customWidth="1"/>
    <col min="4" max="4" width="13.7109375" style="9" customWidth="1"/>
    <col min="5" max="5" width="16.7109375" style="9" customWidth="1"/>
    <col min="6" max="6" width="10.7109375" style="12" customWidth="1"/>
    <col min="7" max="13" width="5.7109375" style="12" customWidth="1"/>
    <col min="14" max="14" width="6.7109375" style="12" customWidth="1"/>
    <col min="15" max="15" width="8.7109375" style="15" customWidth="1"/>
    <col min="16" max="16" width="12.7109375" style="9" customWidth="1"/>
    <col min="17" max="17" width="3.7109375" customWidth="1"/>
  </cols>
  <sheetData>
    <row r="1" spans="1:16" ht="30" customHeight="1">
      <c r="A1" s="13" t="s">
        <v>89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16" ht="22" customHeight="1"/>
    <row r="3" spans="1:16" ht="12" customHeight="1"/>
    <row r="5" spans="1:16">
      <c r="B5" s="7" t="s">
        <v>101</v>
      </c>
      <c r="C5" s="21"/>
      <c r="D5" s="7" t="s">
        <v>102</v>
      </c>
      <c r="E5" s="21"/>
      <c r="F5" s="7" t="s">
        <v>103</v>
      </c>
      <c r="G5" s="17" t="s">
        <v>104</v>
      </c>
    </row>
    <row r="6" spans="1:16">
      <c r="B6" s="7" t="s">
        <v>105</v>
      </c>
      <c r="C6" s="22"/>
      <c r="D6" s="7" t="s">
        <v>106</v>
      </c>
    </row>
    <row r="7" spans="1:16">
      <c r="A7" s="5" t="s">
        <v>107</v>
      </c>
    </row>
    <row r="8" spans="1:16">
      <c r="A8" s="14" t="s">
        <v>90</v>
      </c>
      <c r="B8" s="14" t="s">
        <v>9</v>
      </c>
      <c r="C8" s="14" t="s">
        <v>37</v>
      </c>
      <c r="D8" s="14" t="s">
        <v>25</v>
      </c>
      <c r="E8" s="14" t="s">
        <v>32</v>
      </c>
      <c r="F8" s="14" t="s">
        <v>41</v>
      </c>
      <c r="G8" s="14" t="s">
        <v>91</v>
      </c>
      <c r="H8" s="14" t="s">
        <v>92</v>
      </c>
      <c r="I8" s="14" t="s">
        <v>93</v>
      </c>
      <c r="J8" s="14" t="s">
        <v>94</v>
      </c>
      <c r="K8" s="14" t="s">
        <v>95</v>
      </c>
      <c r="L8" s="14" t="s">
        <v>96</v>
      </c>
      <c r="M8" s="14" t="s">
        <v>97</v>
      </c>
      <c r="N8" s="14" t="s">
        <v>98</v>
      </c>
      <c r="O8" s="14" t="s">
        <v>99</v>
      </c>
      <c r="P8" s="14" t="s">
        <v>100</v>
      </c>
    </row>
  </sheetData>
  <sheetProtection password="B542" sheet="1" objects="1" scenarios="1" formatColumns="0" formatRows="0" autoFilter="0"/>
  <mergeCells count="1">
    <mergeCell ref="A1:P1"/>
  </mergeCells>
  <dataValidations count="1">
    <dataValidation type="list" allowBlank="1" showInputMessage="1" showErrorMessage="1" sqref="G5">
      <formula1>L_FILTRE_TYPES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FicheAppel">
    <pageSetUpPr fitToPage="1"/>
  </sheetPr>
  <dimension ref="A1:I8"/>
  <sheetViews>
    <sheetView showGridLines="0" workbookViewId="0"/>
  </sheetViews>
  <sheetFormatPr defaultRowHeight="15"/>
  <cols>
    <col min="1" max="1" width="5.7109375" style="12" customWidth="1"/>
    <col min="2" max="2" width="11.7109375" style="9" customWidth="1"/>
    <col min="3" max="3" width="32.7109375" style="9" customWidth="1"/>
    <col min="4" max="4" width="13.7109375" style="9" customWidth="1"/>
    <col min="5" max="8" width="6.7109375" style="12" customWidth="1"/>
    <col min="9" max="9" width="30.7109375" style="9" customWidth="1"/>
  </cols>
  <sheetData>
    <row r="1" spans="1:9" ht="30" customHeight="1">
      <c r="A1" s="13" t="s">
        <v>108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5" spans="1:9">
      <c r="B5" s="7" t="s">
        <v>82</v>
      </c>
      <c r="C5" s="17"/>
    </row>
    <row r="8" spans="1:9">
      <c r="A8" s="14" t="s">
        <v>109</v>
      </c>
      <c r="B8" s="14" t="s">
        <v>9</v>
      </c>
      <c r="C8" s="14" t="s">
        <v>37</v>
      </c>
      <c r="D8" s="14" t="s">
        <v>25</v>
      </c>
      <c r="E8" s="14" t="s">
        <v>91</v>
      </c>
      <c r="F8" s="14" t="s">
        <v>92</v>
      </c>
      <c r="G8" s="14" t="s">
        <v>95</v>
      </c>
      <c r="H8" s="14" t="s">
        <v>96</v>
      </c>
      <c r="I8" s="14" t="s">
        <v>110</v>
      </c>
    </row>
  </sheetData>
  <sheetProtection password="B542" sheet="1" objects="1" scenarios="1" formatColumns="0" formatRows="0" autoFilter="0"/>
  <mergeCells count="1">
    <mergeCell ref="A1:I1"/>
  </mergeCells>
  <dataValidations count="1">
    <dataValidation type="list" errorStyle="warning" allowBlank="1" showInputMessage="1" showErrorMessage="1" sqref="C5">
      <formula1>L_SEANCES</formula1>
    </dataValidation>
  </dataValidations>
  <pageMargins left="0.4" right="0.4" top="0.5" bottom="0.5" header="0.3" footer="0.3"/>
  <pageSetup paperSize="9" fitToHeight="0" orientation="portrait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lecteurs">
    <pageSetUpPr fitToPage="1"/>
  </sheetPr>
  <dimension ref="A1:H8"/>
  <sheetViews>
    <sheetView showGridLines="0" workbookViewId="0"/>
  </sheetViews>
  <sheetFormatPr defaultRowHeight="15"/>
  <cols>
    <col min="1" max="1" width="5.7109375" style="12" customWidth="1"/>
    <col min="2" max="2" width="11.7109375" style="9" customWidth="1"/>
    <col min="3" max="3" width="32.7109375" style="9" customWidth="1"/>
    <col min="4" max="4" width="13.7109375" style="9" customWidth="1"/>
    <col min="5" max="5" width="12.7109375" style="11" customWidth="1"/>
    <col min="6" max="6" width="8.7109375" style="15" customWidth="1"/>
    <col min="7" max="7" width="24.7109375" style="9" customWidth="1"/>
  </cols>
  <sheetData>
    <row r="1" spans="1:8" ht="30" customHeight="1">
      <c r="A1" s="13" t="s">
        <v>111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C5" s="18"/>
    </row>
    <row r="6" spans="1:8">
      <c r="C6" s="18"/>
    </row>
    <row r="8" spans="1:8">
      <c r="A8" s="14" t="s">
        <v>109</v>
      </c>
      <c r="B8" s="14" t="s">
        <v>9</v>
      </c>
      <c r="C8" s="14" t="s">
        <v>37</v>
      </c>
      <c r="D8" s="14" t="s">
        <v>25</v>
      </c>
      <c r="E8" s="14" t="s">
        <v>23</v>
      </c>
      <c r="F8" s="14" t="s">
        <v>99</v>
      </c>
      <c r="G8" s="14" t="s">
        <v>112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  <pageSetup paperSize="9" fitToHeight="0" orientation="portrait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Patrimoine"/>
  <dimension ref="A1:N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0.7109375" style="9" customWidth="1"/>
    <col min="2" max="2" width="26.7109375" style="9" customWidth="1"/>
    <col min="3" max="3" width="22.7109375" style="9" customWidth="1"/>
    <col min="4" max="4" width="9.7109375" style="12" customWidth="1"/>
    <col min="5" max="5" width="8.7109375" style="9" customWidth="1"/>
    <col min="6" max="6" width="12.7109375" style="11" customWidth="1"/>
    <col min="7" max="7" width="18.7109375" style="9" customWidth="1"/>
    <col min="8" max="8" width="26.7109375" style="9" customWidth="1"/>
    <col min="9" max="10" width="12.7109375" style="19" customWidth="1"/>
    <col min="11" max="11" width="11.7109375" style="9" customWidth="1"/>
    <col min="12" max="12" width="20.7109375" style="9" customWidth="1"/>
    <col min="13" max="13" width="18.7109375" style="9" customWidth="1"/>
    <col min="14" max="14" width="30.7109375" style="9" customWidth="1"/>
  </cols>
  <sheetData>
    <row r="1" spans="1:14" ht="30" customHeight="1">
      <c r="A1" s="13" t="s">
        <v>113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</row>
    <row r="2" spans="1:14" ht="22" customHeight="1"/>
    <row r="3" spans="1:14" ht="12" customHeight="1"/>
    <row r="4" spans="1:14" ht="34" customHeight="1">
      <c r="A4" s="14" t="s">
        <v>80</v>
      </c>
      <c r="B4" s="14" t="s">
        <v>114</v>
      </c>
      <c r="C4" s="14" t="s">
        <v>115</v>
      </c>
      <c r="D4" s="14" t="s">
        <v>116</v>
      </c>
      <c r="E4" s="14" t="s">
        <v>117</v>
      </c>
      <c r="F4" s="14" t="s">
        <v>118</v>
      </c>
      <c r="G4" s="14" t="s">
        <v>119</v>
      </c>
      <c r="H4" s="14" t="s">
        <v>120</v>
      </c>
      <c r="I4" s="14" t="s">
        <v>121</v>
      </c>
      <c r="J4" s="14" t="s">
        <v>122</v>
      </c>
      <c r="K4" s="14" t="s">
        <v>123</v>
      </c>
      <c r="L4" s="14" t="s">
        <v>124</v>
      </c>
      <c r="M4" s="14" t="s">
        <v>125</v>
      </c>
      <c r="N4" s="14" t="s">
        <v>34</v>
      </c>
    </row>
  </sheetData>
  <sheetProtection password="B542" sheet="1" objects="1" scenarios="1" formatColumns="0" formatRows="0" autoFilter="0"/>
  <autoFilter ref="A4:N5"/>
  <mergeCells count="1">
    <mergeCell ref="A1:N1"/>
  </mergeCells>
  <dataValidations count="3">
    <dataValidation type="list" errorStyle="warning" allowBlank="1" showInputMessage="1" showErrorMessage="1" error="Valeur hors liste : vérifiez la saisie." sqref="C5:C3001">
      <formula1>L_CAT_PAT</formula1>
    </dataValidation>
    <dataValidation type="list" errorStyle="warning" allowBlank="1" showInputMessage="1" showErrorMessage="1" error="Valeur hors liste : vérifiez la saisie." sqref="K5:K3001">
      <formula1>L_ETATS</formula1>
    </dataValidation>
    <dataValidation type="list" errorStyle="warning" allowBlank="1" showInputMessage="1" showErrorMessage="1" error="Valeur hors liste : vérifiez la saisie." sqref="G5:G3001">
      <formula1>L_MODES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Parametres"/>
  <dimension ref="A1:H6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28.7109375" style="9" customWidth="1"/>
    <col min="2" max="2" width="46.7109375" style="9" customWidth="1"/>
    <col min="3" max="3" width="90.7109375" style="9" customWidth="1"/>
  </cols>
  <sheetData>
    <row r="1" spans="1:8" ht="30" customHeight="1">
      <c r="A1" s="13" t="s">
        <v>126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22" customHeight="1">
      <c r="A4" s="14" t="s">
        <v>127</v>
      </c>
      <c r="B4" s="14" t="s">
        <v>128</v>
      </c>
      <c r="C4" s="14" t="s">
        <v>129</v>
      </c>
    </row>
    <row r="5" spans="1:8">
      <c r="A5" s="23"/>
      <c r="B5" s="23"/>
      <c r="C5" s="23" t="s">
        <v>130</v>
      </c>
    </row>
    <row r="6" spans="1:8">
      <c r="A6" s="9" t="s">
        <v>131</v>
      </c>
      <c r="B6" s="9" t="s">
        <v>132</v>
      </c>
      <c r="C6" s="18" t="s">
        <v>133</v>
      </c>
    </row>
    <row r="7" spans="1:8">
      <c r="A7" s="9" t="s">
        <v>134</v>
      </c>
      <c r="B7" s="9" t="s">
        <v>135</v>
      </c>
      <c r="C7" s="18" t="s">
        <v>136</v>
      </c>
    </row>
    <row r="8" spans="1:8">
      <c r="A8" s="9" t="s">
        <v>137</v>
      </c>
      <c r="B8" s="9" t="s">
        <v>138</v>
      </c>
      <c r="C8" s="18"/>
    </row>
    <row r="9" spans="1:8">
      <c r="A9" s="9" t="s">
        <v>139</v>
      </c>
      <c r="B9" s="9" t="s">
        <v>140</v>
      </c>
      <c r="C9" s="18"/>
    </row>
    <row r="10" spans="1:8">
      <c r="A10" s="9" t="s">
        <v>141</v>
      </c>
      <c r="B10" s="9" t="s">
        <v>142</v>
      </c>
      <c r="C10" s="18"/>
    </row>
    <row r="11" spans="1:8">
      <c r="A11" s="9" t="s">
        <v>143</v>
      </c>
      <c r="B11" s="9" t="s">
        <v>144</v>
      </c>
      <c r="C11" s="18"/>
    </row>
    <row r="12" spans="1:8">
      <c r="A12" s="9" t="s">
        <v>145</v>
      </c>
      <c r="B12" s="9" t="s">
        <v>146</v>
      </c>
      <c r="C12" s="18"/>
    </row>
    <row r="13" spans="1:8">
      <c r="A13" s="9" t="s">
        <v>147</v>
      </c>
      <c r="B13" s="11">
        <v>32246</v>
      </c>
      <c r="C13" s="18" t="s">
        <v>148</v>
      </c>
    </row>
    <row r="14" spans="1:8">
      <c r="A14" s="23"/>
      <c r="B14" s="23"/>
      <c r="C14" s="23" t="s">
        <v>149</v>
      </c>
    </row>
    <row r="15" spans="1:8">
      <c r="A15" s="9" t="s">
        <v>150</v>
      </c>
      <c r="B15" s="9">
        <v>1</v>
      </c>
      <c r="C15" s="18" t="s">
        <v>151</v>
      </c>
    </row>
    <row r="16" spans="1:8">
      <c r="A16" s="9" t="s">
        <v>152</v>
      </c>
      <c r="B16" s="9" t="s">
        <v>153</v>
      </c>
      <c r="C16" s="18"/>
    </row>
    <row r="17" spans="1:3">
      <c r="A17" s="9" t="s">
        <v>154</v>
      </c>
      <c r="B17" s="9">
        <v>300</v>
      </c>
      <c r="C17" s="18" t="s">
        <v>155</v>
      </c>
    </row>
    <row r="18" spans="1:3">
      <c r="A18" s="23"/>
      <c r="B18" s="23"/>
      <c r="C18" s="23" t="s">
        <v>156</v>
      </c>
    </row>
    <row r="19" spans="1:3">
      <c r="A19" s="9" t="s">
        <v>157</v>
      </c>
      <c r="B19" s="9">
        <v>2</v>
      </c>
      <c r="C19" s="18" t="s">
        <v>158</v>
      </c>
    </row>
    <row r="20" spans="1:3">
      <c r="A20" s="9" t="s">
        <v>159</v>
      </c>
      <c r="B20" s="15">
        <v>0.8</v>
      </c>
      <c r="C20" s="18" t="s">
        <v>160</v>
      </c>
    </row>
    <row r="21" spans="1:3">
      <c r="A21" s="9" t="s">
        <v>161</v>
      </c>
      <c r="B21" s="15">
        <v>0.5</v>
      </c>
      <c r="C21" s="18" t="s">
        <v>162</v>
      </c>
    </row>
    <row r="22" spans="1:3">
      <c r="A22" s="9" t="s">
        <v>163</v>
      </c>
      <c r="B22" s="9">
        <v>3</v>
      </c>
      <c r="C22" s="18" t="s">
        <v>164</v>
      </c>
    </row>
    <row r="23" spans="1:3">
      <c r="A23" s="9" t="s">
        <v>165</v>
      </c>
      <c r="B23" s="15">
        <v>0.6</v>
      </c>
      <c r="C23" s="18" t="s">
        <v>166</v>
      </c>
    </row>
    <row r="24" spans="1:3">
      <c r="A24" s="23"/>
      <c r="B24" s="23"/>
      <c r="C24" s="23" t="s">
        <v>167</v>
      </c>
    </row>
    <row r="25" spans="1:3">
      <c r="A25" s="9" t="s">
        <v>168</v>
      </c>
      <c r="B25" s="9">
        <v>3</v>
      </c>
      <c r="C25" s="18" t="s">
        <v>169</v>
      </c>
    </row>
    <row r="26" spans="1:3">
      <c r="A26" s="9" t="s">
        <v>170</v>
      </c>
      <c r="B26" s="15">
        <v>0.6</v>
      </c>
      <c r="C26" s="18" t="s">
        <v>171</v>
      </c>
    </row>
    <row r="27" spans="1:3">
      <c r="A27" s="9" t="s">
        <v>172</v>
      </c>
      <c r="B27" s="9">
        <v>15</v>
      </c>
      <c r="C27" s="18" t="s">
        <v>173</v>
      </c>
    </row>
    <row r="28" spans="1:3">
      <c r="A28" s="23"/>
      <c r="B28" s="23"/>
      <c r="C28" s="23" t="s">
        <v>174</v>
      </c>
    </row>
    <row r="29" spans="1:3">
      <c r="A29" s="9" t="s">
        <v>175</v>
      </c>
      <c r="B29" s="11">
        <v>46023</v>
      </c>
      <c r="C29" s="18" t="s">
        <v>176</v>
      </c>
    </row>
    <row r="30" spans="1:3">
      <c r="A30" s="9" t="s">
        <v>177</v>
      </c>
      <c r="B30" s="9">
        <v>0</v>
      </c>
      <c r="C30" s="18" t="s">
        <v>178</v>
      </c>
    </row>
    <row r="31" spans="1:3">
      <c r="A31" s="9" t="s">
        <v>179</v>
      </c>
      <c r="B31" s="9">
        <v>0</v>
      </c>
      <c r="C31" s="18" t="s">
        <v>180</v>
      </c>
    </row>
    <row r="32" spans="1:3">
      <c r="A32" s="9" t="s">
        <v>181</v>
      </c>
      <c r="B32" s="9">
        <v>0</v>
      </c>
      <c r="C32" s="18" t="s">
        <v>182</v>
      </c>
    </row>
    <row r="33" spans="1:3">
      <c r="A33" s="9" t="s">
        <v>183</v>
      </c>
      <c r="B33" s="11">
        <v>46023</v>
      </c>
      <c r="C33" s="18" t="s">
        <v>184</v>
      </c>
    </row>
    <row r="34" spans="1:3">
      <c r="A34" s="9" t="s">
        <v>185</v>
      </c>
      <c r="B34" s="9">
        <v>10000</v>
      </c>
      <c r="C34" s="18" t="s">
        <v>186</v>
      </c>
    </row>
    <row r="35" spans="1:3">
      <c r="A35" s="9" t="s">
        <v>187</v>
      </c>
      <c r="B35" s="15">
        <v>0.1</v>
      </c>
      <c r="C35" s="18" t="s">
        <v>188</v>
      </c>
    </row>
    <row r="36" spans="1:3">
      <c r="A36" s="9" t="s">
        <v>189</v>
      </c>
      <c r="B36" s="9">
        <v>3</v>
      </c>
      <c r="C36" s="18" t="s">
        <v>190</v>
      </c>
    </row>
    <row r="37" spans="1:3">
      <c r="A37" s="9" t="s">
        <v>191</v>
      </c>
      <c r="B37" s="9">
        <v>30</v>
      </c>
      <c r="C37" s="18" t="s">
        <v>192</v>
      </c>
    </row>
    <row r="38" spans="1:3">
      <c r="A38" s="9" t="s">
        <v>193</v>
      </c>
      <c r="B38" s="9" t="s">
        <v>194</v>
      </c>
      <c r="C38" s="18" t="s">
        <v>195</v>
      </c>
    </row>
    <row r="39" spans="1:3">
      <c r="A39" s="9" t="s">
        <v>196</v>
      </c>
      <c r="B39" s="9" t="s">
        <v>197</v>
      </c>
      <c r="C39" s="18" t="s">
        <v>198</v>
      </c>
    </row>
    <row r="40" spans="1:3">
      <c r="A40" s="9" t="s">
        <v>199</v>
      </c>
      <c r="B40" s="9" t="s">
        <v>200</v>
      </c>
      <c r="C40" s="18" t="s">
        <v>201</v>
      </c>
    </row>
    <row r="41" spans="1:3">
      <c r="A41" s="9" t="s">
        <v>202</v>
      </c>
      <c r="B41" s="9" t="s">
        <v>203</v>
      </c>
      <c r="C41" s="18" t="s">
        <v>204</v>
      </c>
    </row>
    <row r="42" spans="1:3">
      <c r="A42" s="9" t="s">
        <v>205</v>
      </c>
      <c r="B42" s="9" t="s">
        <v>206</v>
      </c>
      <c r="C42" s="18" t="s">
        <v>207</v>
      </c>
    </row>
    <row r="43" spans="1:3">
      <c r="A43" s="9" t="s">
        <v>208</v>
      </c>
      <c r="B43" s="9" t="s">
        <v>209</v>
      </c>
      <c r="C43" s="18" t="s">
        <v>210</v>
      </c>
    </row>
    <row r="44" spans="1:3">
      <c r="A44" s="9" t="s">
        <v>211</v>
      </c>
      <c r="B44" s="9" t="s">
        <v>212</v>
      </c>
      <c r="C44" s="18" t="s">
        <v>213</v>
      </c>
    </row>
    <row r="45" spans="1:3">
      <c r="A45" s="9" t="s">
        <v>214</v>
      </c>
      <c r="B45" s="9" t="s">
        <v>215</v>
      </c>
      <c r="C45" s="18" t="s">
        <v>216</v>
      </c>
    </row>
    <row r="46" spans="1:3">
      <c r="A46" s="9" t="s">
        <v>217</v>
      </c>
      <c r="B46" s="9" t="s">
        <v>218</v>
      </c>
      <c r="C46" s="18" t="s">
        <v>219</v>
      </c>
    </row>
    <row r="47" spans="1:3">
      <c r="A47" s="9" t="s">
        <v>220</v>
      </c>
      <c r="B47" s="9"/>
      <c r="C47" s="18" t="s">
        <v>221</v>
      </c>
    </row>
    <row r="48" spans="1:3">
      <c r="A48" s="23"/>
      <c r="B48" s="23"/>
      <c r="C48" s="23" t="s">
        <v>222</v>
      </c>
    </row>
    <row r="49" spans="1:3">
      <c r="A49" s="9" t="s">
        <v>223</v>
      </c>
      <c r="B49" s="9" t="s">
        <v>224</v>
      </c>
      <c r="C49" s="18" t="s">
        <v>225</v>
      </c>
    </row>
    <row r="50" spans="1:3">
      <c r="A50" s="9" t="s">
        <v>226</v>
      </c>
      <c r="B50" s="9">
        <v>6</v>
      </c>
      <c r="C50" s="18" t="s">
        <v>227</v>
      </c>
    </row>
    <row r="51" spans="1:3">
      <c r="A51" s="9" t="s">
        <v>228</v>
      </c>
      <c r="B51" s="9">
        <v>7</v>
      </c>
      <c r="C51" s="18" t="s">
        <v>229</v>
      </c>
    </row>
    <row r="52" spans="1:3">
      <c r="A52" s="9" t="s">
        <v>230</v>
      </c>
      <c r="B52" s="9"/>
      <c r="C52" s="18" t="s">
        <v>231</v>
      </c>
    </row>
    <row r="53" spans="1:3">
      <c r="A53" s="9" t="s">
        <v>232</v>
      </c>
      <c r="B53" s="9"/>
      <c r="C53" s="18" t="s">
        <v>233</v>
      </c>
    </row>
    <row r="54" spans="1:3">
      <c r="A54" s="23"/>
      <c r="B54" s="23"/>
      <c r="C54" s="23" t="s">
        <v>234</v>
      </c>
    </row>
    <row r="55" spans="1:3">
      <c r="A55" s="9" t="s">
        <v>235</v>
      </c>
      <c r="B55" s="9" t="s">
        <v>236</v>
      </c>
      <c r="C55" s="18"/>
    </row>
    <row r="56" spans="1:3">
      <c r="A56" s="9" t="s">
        <v>237</v>
      </c>
      <c r="B56" s="9" t="s">
        <v>238</v>
      </c>
      <c r="C56" s="18" t="s">
        <v>239</v>
      </c>
    </row>
    <row r="57" spans="1:3">
      <c r="A57" s="9" t="s">
        <v>240</v>
      </c>
      <c r="B57" s="9" t="s">
        <v>241</v>
      </c>
      <c r="C57" s="18" t="s">
        <v>242</v>
      </c>
    </row>
    <row r="58" spans="1:3">
      <c r="A58" s="9" t="s">
        <v>243</v>
      </c>
      <c r="B58" s="9" t="s">
        <v>244</v>
      </c>
      <c r="C58" s="18" t="s">
        <v>245</v>
      </c>
    </row>
    <row r="59" spans="1:3">
      <c r="A59" s="23"/>
      <c r="B59" s="23"/>
      <c r="C59" s="23" t="s">
        <v>246</v>
      </c>
    </row>
    <row r="60" spans="1:3">
      <c r="A60" s="9" t="s">
        <v>247</v>
      </c>
      <c r="B60" s="9"/>
      <c r="C60" s="18" t="s">
        <v>248</v>
      </c>
    </row>
    <row r="61" spans="1:3">
      <c r="A61" s="9" t="s">
        <v>249</v>
      </c>
      <c r="B61" s="9" t="s">
        <v>224</v>
      </c>
      <c r="C61" s="18" t="s">
        <v>250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Listes"/>
  <dimension ref="A1:AA45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27" width="18.7109375" style="9" customWidth="1"/>
  </cols>
  <sheetData>
    <row r="1" spans="1:27" ht="30" customHeight="1">
      <c r="A1" s="13" t="s">
        <v>251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</row>
    <row r="2" spans="1:27" ht="22" customHeight="1"/>
    <row r="3" spans="1:27" ht="12" customHeight="1"/>
    <row r="4" spans="1:27" ht="34" customHeight="1">
      <c r="A4" s="14" t="s">
        <v>25</v>
      </c>
      <c r="B4" s="14" t="s">
        <v>258</v>
      </c>
      <c r="C4" s="14" t="s">
        <v>28</v>
      </c>
      <c r="D4" s="14" t="s">
        <v>32</v>
      </c>
      <c r="E4" s="14" t="s">
        <v>286</v>
      </c>
      <c r="F4" s="14" t="s">
        <v>288</v>
      </c>
      <c r="G4" s="14" t="s">
        <v>289</v>
      </c>
      <c r="H4" s="14" t="s">
        <v>12</v>
      </c>
      <c r="I4" s="14" t="s">
        <v>29</v>
      </c>
      <c r="J4" s="14" t="s">
        <v>38</v>
      </c>
      <c r="K4" s="14" t="s">
        <v>60</v>
      </c>
      <c r="L4" s="14" t="s">
        <v>63</v>
      </c>
      <c r="M4" s="14" t="s">
        <v>303</v>
      </c>
      <c r="N4" s="14" t="s">
        <v>304</v>
      </c>
      <c r="O4" s="14" t="s">
        <v>306</v>
      </c>
      <c r="P4" s="14" t="s">
        <v>310</v>
      </c>
      <c r="Q4" s="14" t="s">
        <v>318</v>
      </c>
      <c r="R4" s="14" t="s">
        <v>119</v>
      </c>
      <c r="S4" s="14" t="s">
        <v>333</v>
      </c>
      <c r="T4" s="14" t="s">
        <v>335</v>
      </c>
      <c r="U4" s="14" t="s">
        <v>338</v>
      </c>
      <c r="V4" s="14" t="s">
        <v>342</v>
      </c>
      <c r="W4" s="14" t="s">
        <v>343</v>
      </c>
      <c r="X4" s="14" t="s">
        <v>346</v>
      </c>
      <c r="Y4" s="14" t="s">
        <v>351</v>
      </c>
      <c r="Z4" s="14" t="s">
        <v>354</v>
      </c>
      <c r="AA4" s="14" t="s">
        <v>357</v>
      </c>
    </row>
    <row r="5" spans="1:27">
      <c r="A5" s="9" t="s">
        <v>252</v>
      </c>
      <c r="B5" s="9" t="s">
        <v>259</v>
      </c>
      <c r="C5" s="9" t="s">
        <v>269</v>
      </c>
      <c r="D5" s="9" t="s">
        <v>276</v>
      </c>
      <c r="E5" s="9" t="s">
        <v>224</v>
      </c>
      <c r="F5" s="9" t="s">
        <v>91</v>
      </c>
      <c r="G5" s="9" t="s">
        <v>224</v>
      </c>
      <c r="H5" s="9" t="s">
        <v>290</v>
      </c>
      <c r="I5" s="9" t="s">
        <v>292</v>
      </c>
      <c r="J5" s="9" t="s">
        <v>297</v>
      </c>
      <c r="K5" s="9" t="s">
        <v>300</v>
      </c>
      <c r="L5" s="9" t="s">
        <v>269</v>
      </c>
      <c r="M5" s="9" t="s">
        <v>224</v>
      </c>
      <c r="N5" s="9" t="s">
        <v>224</v>
      </c>
      <c r="O5" s="9" t="s">
        <v>307</v>
      </c>
      <c r="P5" s="9" t="s">
        <v>311</v>
      </c>
      <c r="Q5" s="9" t="s">
        <v>319</v>
      </c>
      <c r="R5" s="9" t="s">
        <v>327</v>
      </c>
      <c r="S5" s="9" t="s">
        <v>104</v>
      </c>
      <c r="T5" s="9" t="s">
        <v>336</v>
      </c>
      <c r="U5" s="9" t="s">
        <v>339</v>
      </c>
      <c r="V5" s="9" t="s">
        <v>339</v>
      </c>
      <c r="W5" s="9" t="s">
        <v>344</v>
      </c>
      <c r="X5" s="9" t="s">
        <v>347</v>
      </c>
      <c r="Y5" s="9" t="s">
        <v>352</v>
      </c>
      <c r="Z5" s="9" t="s">
        <v>355</v>
      </c>
      <c r="AA5" s="9" t="s">
        <v>104</v>
      </c>
    </row>
    <row r="6" spans="1:27">
      <c r="A6" s="9" t="s">
        <v>253</v>
      </c>
      <c r="B6" s="9" t="s">
        <v>260</v>
      </c>
      <c r="C6" s="9" t="s">
        <v>270</v>
      </c>
      <c r="D6" s="9" t="s">
        <v>277</v>
      </c>
      <c r="E6" s="9" t="s">
        <v>224</v>
      </c>
      <c r="F6" s="9" t="s">
        <v>91</v>
      </c>
      <c r="G6" s="9" t="s">
        <v>224</v>
      </c>
      <c r="H6" s="9" t="s">
        <v>291</v>
      </c>
      <c r="I6" s="9" t="s">
        <v>293</v>
      </c>
      <c r="J6" s="9" t="s">
        <v>298</v>
      </c>
      <c r="K6" s="9" t="s">
        <v>301</v>
      </c>
      <c r="L6" s="9" t="s">
        <v>270</v>
      </c>
      <c r="M6" s="9" t="s">
        <v>287</v>
      </c>
      <c r="N6" s="9" t="s">
        <v>287</v>
      </c>
      <c r="O6" s="9" t="s">
        <v>308</v>
      </c>
      <c r="P6" s="9" t="s">
        <v>312</v>
      </c>
      <c r="Q6" s="9" t="s">
        <v>320</v>
      </c>
      <c r="R6" s="9" t="s">
        <v>328</v>
      </c>
      <c r="S6" s="9" t="s">
        <v>334</v>
      </c>
      <c r="T6" s="9" t="s">
        <v>337</v>
      </c>
      <c r="U6" s="9" t="s">
        <v>340</v>
      </c>
      <c r="V6" s="9" t="s">
        <v>340</v>
      </c>
      <c r="W6" s="9" t="s">
        <v>345</v>
      </c>
      <c r="X6" s="9" t="s">
        <v>348</v>
      </c>
      <c r="Y6" s="9" t="s">
        <v>353</v>
      </c>
      <c r="Z6" s="9" t="s">
        <v>356</v>
      </c>
      <c r="AA6" s="9">
        <f>IF(TYPES_ACTIVITE!A5="","",TYPES_ACTIVITE!A5)</f>
        <v/>
      </c>
    </row>
    <row r="7" spans="1:27">
      <c r="A7" s="9" t="s">
        <v>254</v>
      </c>
      <c r="B7" s="9" t="s">
        <v>261</v>
      </c>
      <c r="C7" s="9" t="s">
        <v>271</v>
      </c>
      <c r="D7" s="9" t="s">
        <v>278</v>
      </c>
      <c r="E7" s="9" t="s">
        <v>224</v>
      </c>
      <c r="F7" s="9" t="s">
        <v>91</v>
      </c>
      <c r="G7" s="9" t="s">
        <v>224</v>
      </c>
      <c r="I7" s="9" t="s">
        <v>294</v>
      </c>
      <c r="J7" s="9" t="s">
        <v>299</v>
      </c>
      <c r="K7" s="9" t="s">
        <v>302</v>
      </c>
      <c r="N7" s="9" t="s">
        <v>305</v>
      </c>
      <c r="O7" s="9" t="s">
        <v>309</v>
      </c>
      <c r="P7" s="9" t="s">
        <v>313</v>
      </c>
      <c r="Q7" s="9" t="s">
        <v>321</v>
      </c>
      <c r="R7" s="9" t="s">
        <v>329</v>
      </c>
      <c r="U7" s="9" t="s">
        <v>341</v>
      </c>
      <c r="X7" s="9" t="s">
        <v>349</v>
      </c>
      <c r="AA7" s="9">
        <f>IF(TYPES_ACTIVITE!A6="","",TYPES_ACTIVITE!A6)</f>
        <v/>
      </c>
    </row>
    <row r="8" spans="1:27">
      <c r="A8" s="9" t="s">
        <v>255</v>
      </c>
      <c r="B8" s="9" t="s">
        <v>262</v>
      </c>
      <c r="C8" s="9" t="s">
        <v>272</v>
      </c>
      <c r="D8" s="9" t="s">
        <v>279</v>
      </c>
      <c r="E8" s="9" t="s">
        <v>224</v>
      </c>
      <c r="F8" s="9" t="s">
        <v>97</v>
      </c>
      <c r="G8" s="9" t="s">
        <v>224</v>
      </c>
      <c r="I8" s="9" t="s">
        <v>295</v>
      </c>
      <c r="P8" s="9" t="s">
        <v>314</v>
      </c>
      <c r="Q8" s="9" t="s">
        <v>322</v>
      </c>
      <c r="R8" s="9" t="s">
        <v>330</v>
      </c>
      <c r="X8" s="9" t="s">
        <v>350</v>
      </c>
      <c r="AA8" s="9">
        <f>IF(TYPES_ACTIVITE!A7="","",TYPES_ACTIVITE!A7)</f>
        <v/>
      </c>
    </row>
    <row r="9" spans="1:27">
      <c r="A9" s="9" t="s">
        <v>256</v>
      </c>
      <c r="B9" s="9" t="s">
        <v>263</v>
      </c>
      <c r="C9" s="9" t="s">
        <v>273</v>
      </c>
      <c r="D9" s="9" t="s">
        <v>280</v>
      </c>
      <c r="E9" s="9" t="s">
        <v>224</v>
      </c>
      <c r="F9" s="9" t="s">
        <v>97</v>
      </c>
      <c r="G9" s="9" t="s">
        <v>224</v>
      </c>
      <c r="I9" s="9" t="s">
        <v>296</v>
      </c>
      <c r="P9" s="9" t="s">
        <v>315</v>
      </c>
      <c r="Q9" s="9" t="s">
        <v>323</v>
      </c>
      <c r="R9" s="9" t="s">
        <v>331</v>
      </c>
      <c r="X9" s="9" t="s">
        <v>332</v>
      </c>
      <c r="AA9" s="9">
        <f>IF(TYPES_ACTIVITE!A8="","",TYPES_ACTIVITE!A8)</f>
        <v/>
      </c>
    </row>
    <row r="10" spans="1:27">
      <c r="A10" s="9" t="s">
        <v>257</v>
      </c>
      <c r="B10" s="9" t="s">
        <v>264</v>
      </c>
      <c r="C10" s="9" t="s">
        <v>274</v>
      </c>
      <c r="D10" s="9" t="s">
        <v>281</v>
      </c>
      <c r="E10" s="9" t="s">
        <v>287</v>
      </c>
      <c r="G10" s="9" t="s">
        <v>287</v>
      </c>
      <c r="P10" s="9" t="s">
        <v>316</v>
      </c>
      <c r="Q10" s="9" t="s">
        <v>324</v>
      </c>
      <c r="R10" s="9" t="s">
        <v>332</v>
      </c>
      <c r="AA10" s="9">
        <f>IF(TYPES_ACTIVITE!A9="","",TYPES_ACTIVITE!A9)</f>
        <v/>
      </c>
    </row>
    <row r="11" spans="1:27">
      <c r="B11" s="9" t="s">
        <v>265</v>
      </c>
      <c r="C11" s="9" t="s">
        <v>275</v>
      </c>
      <c r="D11" s="9" t="s">
        <v>282</v>
      </c>
      <c r="E11" s="9" t="s">
        <v>287</v>
      </c>
      <c r="G11" s="9" t="s">
        <v>287</v>
      </c>
      <c r="P11" s="9" t="s">
        <v>317</v>
      </c>
      <c r="Q11" s="9" t="s">
        <v>325</v>
      </c>
      <c r="AA11" s="9">
        <f>IF(TYPES_ACTIVITE!A10="","",TYPES_ACTIVITE!A10)</f>
        <v/>
      </c>
    </row>
    <row r="12" spans="1:27">
      <c r="B12" s="9" t="s">
        <v>266</v>
      </c>
      <c r="D12" s="9" t="s">
        <v>283</v>
      </c>
      <c r="E12" s="9" t="s">
        <v>287</v>
      </c>
      <c r="G12" s="9" t="s">
        <v>287</v>
      </c>
      <c r="Q12" s="9" t="s">
        <v>326</v>
      </c>
      <c r="AA12" s="9">
        <f>IF(TYPES_ACTIVITE!A11="","",TYPES_ACTIVITE!A11)</f>
        <v/>
      </c>
    </row>
    <row r="13" spans="1:27">
      <c r="B13" s="9" t="s">
        <v>267</v>
      </c>
      <c r="D13" s="9" t="s">
        <v>284</v>
      </c>
      <c r="E13" s="9" t="s">
        <v>287</v>
      </c>
      <c r="G13" s="9" t="s">
        <v>287</v>
      </c>
      <c r="AA13" s="9">
        <f>IF(TYPES_ACTIVITE!A12="","",TYPES_ACTIVITE!A12)</f>
        <v/>
      </c>
    </row>
    <row r="14" spans="1:27">
      <c r="B14" s="9" t="s">
        <v>268</v>
      </c>
      <c r="D14" s="9" t="s">
        <v>285</v>
      </c>
      <c r="E14" s="9" t="s">
        <v>287</v>
      </c>
      <c r="G14" s="9" t="s">
        <v>287</v>
      </c>
      <c r="AA14" s="9">
        <f>IF(TYPES_ACTIVITE!A13="","",TYPES_ACTIVITE!A13)</f>
        <v/>
      </c>
    </row>
    <row r="15" spans="1:27">
      <c r="AA15" s="9">
        <f>IF(TYPES_ACTIVITE!A14="","",TYPES_ACTIVITE!A14)</f>
        <v/>
      </c>
    </row>
    <row r="16" spans="1:27">
      <c r="AA16" s="9">
        <f>IF(TYPES_ACTIVITE!A15="","",TYPES_ACTIVITE!A15)</f>
        <v/>
      </c>
    </row>
    <row r="17" spans="27:27">
      <c r="AA17" s="9">
        <f>IF(TYPES_ACTIVITE!A16="","",TYPES_ACTIVITE!A16)</f>
        <v/>
      </c>
    </row>
    <row r="18" spans="27:27">
      <c r="AA18" s="9">
        <f>IF(TYPES_ACTIVITE!A17="","",TYPES_ACTIVITE!A17)</f>
        <v/>
      </c>
    </row>
    <row r="19" spans="27:27">
      <c r="AA19" s="9">
        <f>IF(TYPES_ACTIVITE!A18="","",TYPES_ACTIVITE!A18)</f>
        <v/>
      </c>
    </row>
    <row r="20" spans="27:27">
      <c r="AA20" s="9">
        <f>IF(TYPES_ACTIVITE!A19="","",TYPES_ACTIVITE!A19)</f>
        <v/>
      </c>
    </row>
    <row r="21" spans="27:27">
      <c r="AA21" s="9">
        <f>IF(TYPES_ACTIVITE!A20="","",TYPES_ACTIVITE!A20)</f>
        <v/>
      </c>
    </row>
    <row r="22" spans="27:27">
      <c r="AA22" s="9">
        <f>IF(TYPES_ACTIVITE!A21="","",TYPES_ACTIVITE!A21)</f>
        <v/>
      </c>
    </row>
    <row r="23" spans="27:27">
      <c r="AA23" s="9">
        <f>IF(TYPES_ACTIVITE!A22="","",TYPES_ACTIVITE!A22)</f>
        <v/>
      </c>
    </row>
    <row r="24" spans="27:27">
      <c r="AA24" s="9">
        <f>IF(TYPES_ACTIVITE!A23="","",TYPES_ACTIVITE!A23)</f>
        <v/>
      </c>
    </row>
    <row r="25" spans="27:27">
      <c r="AA25" s="9">
        <f>IF(TYPES_ACTIVITE!A24="","",TYPES_ACTIVITE!A24)</f>
        <v/>
      </c>
    </row>
    <row r="26" spans="27:27">
      <c r="AA26" s="9">
        <f>IF(TYPES_ACTIVITE!A25="","",TYPES_ACTIVITE!A25)</f>
        <v/>
      </c>
    </row>
    <row r="27" spans="27:27">
      <c r="AA27" s="9">
        <f>IF(TYPES_ACTIVITE!A26="","",TYPES_ACTIVITE!A26)</f>
        <v/>
      </c>
    </row>
    <row r="28" spans="27:27">
      <c r="AA28" s="9">
        <f>IF(TYPES_ACTIVITE!A27="","",TYPES_ACTIVITE!A27)</f>
        <v/>
      </c>
    </row>
    <row r="29" spans="27:27">
      <c r="AA29" s="9">
        <f>IF(TYPES_ACTIVITE!A28="","",TYPES_ACTIVITE!A28)</f>
        <v/>
      </c>
    </row>
    <row r="30" spans="27:27">
      <c r="AA30" s="9">
        <f>IF(TYPES_ACTIVITE!A29="","",TYPES_ACTIVITE!A29)</f>
        <v/>
      </c>
    </row>
    <row r="31" spans="27:27">
      <c r="AA31" s="9">
        <f>IF(TYPES_ACTIVITE!A30="","",TYPES_ACTIVITE!A30)</f>
        <v/>
      </c>
    </row>
    <row r="32" spans="27:27">
      <c r="AA32" s="9">
        <f>IF(TYPES_ACTIVITE!A31="","",TYPES_ACTIVITE!A31)</f>
        <v/>
      </c>
    </row>
    <row r="33" spans="27:27">
      <c r="AA33" s="9">
        <f>IF(TYPES_ACTIVITE!A32="","",TYPES_ACTIVITE!A32)</f>
        <v/>
      </c>
    </row>
    <row r="34" spans="27:27">
      <c r="AA34" s="9">
        <f>IF(TYPES_ACTIVITE!A33="","",TYPES_ACTIVITE!A33)</f>
        <v/>
      </c>
    </row>
    <row r="35" spans="27:27">
      <c r="AA35" s="9">
        <f>IF(TYPES_ACTIVITE!A34="","",TYPES_ACTIVITE!A34)</f>
        <v/>
      </c>
    </row>
    <row r="36" spans="27:27">
      <c r="AA36" s="9">
        <f>IF(TYPES_ACTIVITE!A35="","",TYPES_ACTIVITE!A35)</f>
        <v/>
      </c>
    </row>
    <row r="37" spans="27:27">
      <c r="AA37" s="9">
        <f>IF(TYPES_ACTIVITE!A36="","",TYPES_ACTIVITE!A36)</f>
        <v/>
      </c>
    </row>
    <row r="38" spans="27:27">
      <c r="AA38" s="9">
        <f>IF(TYPES_ACTIVITE!A37="","",TYPES_ACTIVITE!A37)</f>
        <v/>
      </c>
    </row>
    <row r="39" spans="27:27">
      <c r="AA39" s="9">
        <f>IF(TYPES_ACTIVITE!A38="","",TYPES_ACTIVITE!A38)</f>
        <v/>
      </c>
    </row>
    <row r="40" spans="27:27">
      <c r="AA40" s="9">
        <f>IF(TYPES_ACTIVITE!A39="","",TYPES_ACTIVITE!A39)</f>
        <v/>
      </c>
    </row>
    <row r="41" spans="27:27">
      <c r="AA41" s="9">
        <f>IF(TYPES_ACTIVITE!A40="","",TYPES_ACTIVITE!A40)</f>
        <v/>
      </c>
    </row>
    <row r="42" spans="27:27">
      <c r="AA42" s="9">
        <f>IF(TYPES_ACTIVITE!A41="","",TYPES_ACTIVITE!A41)</f>
        <v/>
      </c>
    </row>
    <row r="43" spans="27:27">
      <c r="AA43" s="9">
        <f>IF(TYPES_ACTIVITE!A42="","",TYPES_ACTIVITE!A42)</f>
        <v/>
      </c>
    </row>
    <row r="44" spans="27:27">
      <c r="AA44" s="9">
        <f>IF(TYPES_ACTIVITE!A43="","",TYPES_ACTIVITE!A43)</f>
        <v/>
      </c>
    </row>
    <row r="45" spans="27:27">
      <c r="AA45" s="9">
        <f>IF(TYPES_ACTIVITE!A44="","",TYPES_ACTIVITE!A44)</f>
        <v/>
      </c>
    </row>
  </sheetData>
  <sheetProtection password="B542" sheet="1" objects="1" scenarios="1" formatColumns="0" formatRows="0" autoFilter="0"/>
  <mergeCells count="1">
    <mergeCell ref="A1:AA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Typ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9.7109375" style="9" customWidth="1"/>
    <col min="2" max="2" width="30.7109375" style="9" customWidth="1"/>
    <col min="3" max="3" width="14.7109375" style="9" customWidth="1"/>
    <col min="4" max="5" width="10.7109375" style="16" customWidth="1"/>
    <col min="6" max="6" width="11.7109375" style="9" customWidth="1"/>
    <col min="7" max="7" width="8.7109375" style="9" customWidth="1"/>
  </cols>
  <sheetData>
    <row r="1" spans="1:8" ht="30" customHeight="1">
      <c r="A1" s="13" t="s">
        <v>358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80</v>
      </c>
      <c r="B4" s="14" t="s">
        <v>71</v>
      </c>
      <c r="C4" s="14" t="s">
        <v>359</v>
      </c>
      <c r="D4" s="14" t="s">
        <v>72</v>
      </c>
      <c r="E4" s="14" t="s">
        <v>73</v>
      </c>
      <c r="F4" s="14" t="s">
        <v>360</v>
      </c>
      <c r="G4" s="14" t="s">
        <v>361</v>
      </c>
    </row>
    <row r="5" spans="1:8">
      <c r="A5" s="9" t="s">
        <v>362</v>
      </c>
      <c r="B5" s="9" t="s">
        <v>363</v>
      </c>
      <c r="C5" s="9" t="s">
        <v>364</v>
      </c>
      <c r="D5" s="16">
        <v>0.75</v>
      </c>
      <c r="E5" s="16">
        <v>0.8541666666666666</v>
      </c>
      <c r="F5" s="9" t="s">
        <v>224</v>
      </c>
      <c r="G5" s="9" t="s">
        <v>224</v>
      </c>
    </row>
    <row r="6" spans="1:8">
      <c r="A6" s="9" t="s">
        <v>367</v>
      </c>
      <c r="B6" s="9" t="s">
        <v>368</v>
      </c>
      <c r="C6" s="9" t="s">
        <v>369</v>
      </c>
      <c r="F6" s="9" t="s">
        <v>224</v>
      </c>
      <c r="G6" s="9" t="s">
        <v>224</v>
      </c>
    </row>
    <row r="7" spans="1:8">
      <c r="A7" s="9" t="s">
        <v>370</v>
      </c>
      <c r="B7" s="9" t="s">
        <v>371</v>
      </c>
      <c r="F7" s="9" t="s">
        <v>224</v>
      </c>
      <c r="G7" s="9" t="s">
        <v>224</v>
      </c>
    </row>
    <row r="8" spans="1:8">
      <c r="A8" s="9" t="s">
        <v>372</v>
      </c>
      <c r="B8" s="9" t="s">
        <v>373</v>
      </c>
      <c r="F8" s="9" t="s">
        <v>224</v>
      </c>
      <c r="G8" s="9" t="s">
        <v>224</v>
      </c>
    </row>
    <row r="9" spans="1:8">
      <c r="A9" s="9" t="s">
        <v>374</v>
      </c>
      <c r="B9" s="9" t="s">
        <v>375</v>
      </c>
      <c r="F9" s="9" t="s">
        <v>224</v>
      </c>
      <c r="G9" s="9" t="s">
        <v>224</v>
      </c>
    </row>
    <row r="10" spans="1:8">
      <c r="A10" s="9" t="s">
        <v>376</v>
      </c>
      <c r="B10" s="9" t="s">
        <v>377</v>
      </c>
      <c r="F10" s="9" t="s">
        <v>287</v>
      </c>
      <c r="G10" s="9" t="s">
        <v>224</v>
      </c>
    </row>
    <row r="11" spans="1:8">
      <c r="A11" s="9" t="s">
        <v>378</v>
      </c>
      <c r="B11" s="9" t="s">
        <v>379</v>
      </c>
      <c r="F11" s="9" t="s">
        <v>287</v>
      </c>
      <c r="G11" s="9" t="s">
        <v>224</v>
      </c>
    </row>
  </sheetData>
  <sheetProtection password="B542" sheet="1" objects="1" scenarios="1" formatColumns="0" formatRows="0" autoFilter="0"/>
  <mergeCells count="1">
    <mergeCell ref="A1:H1"/>
  </mergeCells>
  <dataValidations count="2">
    <dataValidation type="list" errorStyle="warning" allowBlank="1" showInputMessage="1" showErrorMessage="1" error="Valeur hors liste : vérifiez la saisie." sqref="F5:F3001">
      <formula1>L_OUINON</formula1>
    </dataValidation>
    <dataValidation type="list" errorStyle="warning" allowBlank="1" showInputMessage="1" showErrorMessage="1" error="Valeur hors liste : vérifiez la saisie." sqref="G5:G3001">
      <formula1>L_OUINON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Cod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9" customWidth="1"/>
    <col min="2" max="2" width="48.7109375" style="9" customWidth="1"/>
    <col min="3" max="3" width="11.7109375" style="12" customWidth="1"/>
    <col min="4" max="4" width="10.7109375" style="9" customWidth="1"/>
    <col min="5" max="5" width="11.7109375" style="19" customWidth="1"/>
    <col min="6" max="6" width="10.7109375" style="9" customWidth="1"/>
  </cols>
  <sheetData>
    <row r="1" spans="1:8" ht="30" customHeight="1">
      <c r="A1" s="13" t="s">
        <v>380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80</v>
      </c>
      <c r="B4" s="14" t="s">
        <v>71</v>
      </c>
      <c r="C4" s="14" t="s">
        <v>381</v>
      </c>
      <c r="D4" s="14" t="s">
        <v>382</v>
      </c>
      <c r="E4" s="14" t="s">
        <v>86</v>
      </c>
      <c r="F4" s="14" t="s">
        <v>383</v>
      </c>
    </row>
    <row r="5" spans="1:8">
      <c r="A5" s="9" t="s">
        <v>91</v>
      </c>
      <c r="B5" s="9" t="s">
        <v>384</v>
      </c>
      <c r="C5" s="12">
        <v>1</v>
      </c>
      <c r="D5" s="9" t="s">
        <v>287</v>
      </c>
      <c r="E5" s="19">
        <v>0</v>
      </c>
      <c r="F5" s="9" t="s">
        <v>287</v>
      </c>
    </row>
    <row r="6" spans="1:8">
      <c r="A6" s="9" t="s">
        <v>92</v>
      </c>
      <c r="B6" s="9" t="s">
        <v>385</v>
      </c>
      <c r="C6" s="12">
        <v>1</v>
      </c>
      <c r="D6" s="9" t="s">
        <v>287</v>
      </c>
      <c r="E6" s="19">
        <v>50</v>
      </c>
      <c r="F6" s="9" t="s">
        <v>287</v>
      </c>
    </row>
    <row r="7" spans="1:8">
      <c r="A7" s="9" t="s">
        <v>93</v>
      </c>
      <c r="B7" s="9" t="s">
        <v>386</v>
      </c>
      <c r="C7" s="12">
        <v>0</v>
      </c>
      <c r="D7" s="9" t="s">
        <v>287</v>
      </c>
      <c r="E7" s="19">
        <v>50</v>
      </c>
      <c r="F7" s="9" t="s">
        <v>287</v>
      </c>
    </row>
    <row r="8" spans="1:8">
      <c r="A8" s="9" t="s">
        <v>94</v>
      </c>
      <c r="B8" s="9" t="s">
        <v>387</v>
      </c>
      <c r="C8" s="12">
        <v>0.5</v>
      </c>
      <c r="D8" s="9" t="s">
        <v>287</v>
      </c>
      <c r="E8" s="19">
        <v>0</v>
      </c>
      <c r="F8" s="9" t="s">
        <v>287</v>
      </c>
    </row>
    <row r="9" spans="1:8">
      <c r="A9" s="9" t="s">
        <v>95</v>
      </c>
      <c r="B9" s="9" t="s">
        <v>388</v>
      </c>
      <c r="C9" s="12">
        <v>0</v>
      </c>
      <c r="D9" s="9" t="s">
        <v>224</v>
      </c>
      <c r="E9" s="19">
        <v>0</v>
      </c>
      <c r="F9" s="9" t="s">
        <v>224</v>
      </c>
    </row>
    <row r="10" spans="1:8">
      <c r="A10" s="9" t="s">
        <v>96</v>
      </c>
      <c r="B10" s="9" t="s">
        <v>389</v>
      </c>
      <c r="C10" s="12">
        <v>0</v>
      </c>
      <c r="D10" s="9" t="s">
        <v>287</v>
      </c>
      <c r="E10" s="19">
        <v>0</v>
      </c>
      <c r="F10" s="9" t="s">
        <v>287</v>
      </c>
    </row>
    <row r="11" spans="1:8">
      <c r="A11" s="9" t="s">
        <v>97</v>
      </c>
      <c r="B11" s="9" t="s">
        <v>390</v>
      </c>
      <c r="C11" s="12">
        <v>0</v>
      </c>
      <c r="D11" s="9" t="s">
        <v>224</v>
      </c>
      <c r="E11" s="19">
        <v>0</v>
      </c>
      <c r="F11" s="9" t="s">
        <v>287</v>
      </c>
    </row>
  </sheetData>
  <sheetProtection password="B542" sheet="1" objects="1" scenarios="1" formatColumns="0" formatRows="0" autoFilter="0"/>
  <mergeCells count="1">
    <mergeCell ref="A1:H1"/>
  </mergeCells>
  <dataValidations count="2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Controles"/>
  <dimension ref="A1:H18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5.7109375" style="9" customWidth="1"/>
    <col min="2" max="2" width="32.7109375" style="9" customWidth="1"/>
    <col min="3" max="3" width="20.7109375" style="9" customWidth="1"/>
    <col min="4" max="5" width="11.7109375" style="9" customWidth="1"/>
    <col min="6" max="6" width="13.7109375" style="19" customWidth="1"/>
    <col min="7" max="7" width="24.7109375" style="9" customWidth="1"/>
    <col min="8" max="8" width="12.7109375" style="9" customWidth="1"/>
  </cols>
  <sheetData>
    <row r="1" spans="1:8" ht="30" customHeight="1">
      <c r="A1" s="13" t="s">
        <v>391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109</v>
      </c>
      <c r="B4" s="14" t="s">
        <v>392</v>
      </c>
      <c r="C4" s="14" t="s">
        <v>393</v>
      </c>
      <c r="D4" s="14" t="s">
        <v>394</v>
      </c>
      <c r="E4" s="14" t="s">
        <v>395</v>
      </c>
      <c r="F4" s="14" t="s">
        <v>396</v>
      </c>
      <c r="G4" s="14" t="s">
        <v>310</v>
      </c>
      <c r="H4" s="14" t="s">
        <v>333</v>
      </c>
    </row>
    <row r="5" spans="1:8">
      <c r="A5" s="9">
        <v>1</v>
      </c>
      <c r="B5" s="9" t="s">
        <v>397</v>
      </c>
      <c r="C5" s="9" t="s">
        <v>398</v>
      </c>
      <c r="D5" s="9" t="s">
        <v>224</v>
      </c>
      <c r="E5" s="9" t="s">
        <v>287</v>
      </c>
      <c r="H5" s="9" t="s">
        <v>104</v>
      </c>
    </row>
    <row r="6" spans="1:8">
      <c r="A6" s="9">
        <v>2</v>
      </c>
      <c r="B6" s="9" t="s">
        <v>399</v>
      </c>
      <c r="C6" s="9" t="s">
        <v>398</v>
      </c>
      <c r="D6" s="9" t="s">
        <v>224</v>
      </c>
      <c r="E6" s="9" t="s">
        <v>287</v>
      </c>
      <c r="H6" s="9" t="s">
        <v>104</v>
      </c>
    </row>
    <row r="7" spans="1:8">
      <c r="A7" s="9">
        <v>3</v>
      </c>
      <c r="B7" s="9" t="s">
        <v>400</v>
      </c>
      <c r="C7" s="9" t="s">
        <v>398</v>
      </c>
      <c r="D7" s="9" t="s">
        <v>224</v>
      </c>
      <c r="E7" s="9" t="s">
        <v>287</v>
      </c>
      <c r="H7" s="9" t="s">
        <v>334</v>
      </c>
    </row>
    <row r="8" spans="1:8">
      <c r="A8" s="9">
        <v>4</v>
      </c>
      <c r="B8" s="9" t="s">
        <v>401</v>
      </c>
      <c r="C8" s="9" t="s">
        <v>402</v>
      </c>
      <c r="D8" s="9" t="s">
        <v>224</v>
      </c>
      <c r="E8" s="9" t="s">
        <v>287</v>
      </c>
      <c r="H8" s="9" t="s">
        <v>104</v>
      </c>
    </row>
    <row r="9" spans="1:8">
      <c r="A9" s="9">
        <v>5</v>
      </c>
      <c r="B9" s="9" t="s">
        <v>403</v>
      </c>
      <c r="C9" s="9" t="s">
        <v>402</v>
      </c>
      <c r="D9" s="9" t="s">
        <v>224</v>
      </c>
      <c r="E9" s="9" t="s">
        <v>287</v>
      </c>
      <c r="H9" s="9" t="s">
        <v>104</v>
      </c>
    </row>
    <row r="10" spans="1:8">
      <c r="A10" s="9">
        <v>6</v>
      </c>
      <c r="B10" s="9" t="s">
        <v>404</v>
      </c>
      <c r="C10" s="9" t="s">
        <v>402</v>
      </c>
      <c r="D10" s="9" t="s">
        <v>224</v>
      </c>
      <c r="E10" s="9" t="s">
        <v>287</v>
      </c>
      <c r="H10" s="9" t="s">
        <v>104</v>
      </c>
    </row>
    <row r="11" spans="1:8">
      <c r="A11" s="9">
        <v>7</v>
      </c>
      <c r="B11" s="9" t="s">
        <v>405</v>
      </c>
      <c r="C11" s="9" t="s">
        <v>402</v>
      </c>
      <c r="D11" s="9" t="s">
        <v>224</v>
      </c>
      <c r="E11" s="9" t="s">
        <v>287</v>
      </c>
      <c r="H11" s="9" t="s">
        <v>104</v>
      </c>
    </row>
    <row r="12" spans="1:8">
      <c r="A12" s="9">
        <v>8</v>
      </c>
      <c r="B12" s="9" t="s">
        <v>406</v>
      </c>
      <c r="C12" s="9" t="s">
        <v>402</v>
      </c>
      <c r="D12" s="9" t="s">
        <v>224</v>
      </c>
      <c r="E12" s="9" t="s">
        <v>287</v>
      </c>
      <c r="H12" s="9" t="s">
        <v>104</v>
      </c>
    </row>
    <row r="13" spans="1:8">
      <c r="A13" s="9">
        <v>9</v>
      </c>
      <c r="B13" s="9" t="s">
        <v>407</v>
      </c>
      <c r="C13" s="9" t="s">
        <v>408</v>
      </c>
      <c r="D13" s="9" t="s">
        <v>224</v>
      </c>
      <c r="E13" s="9" t="s">
        <v>224</v>
      </c>
      <c r="F13" s="19">
        <v>3000</v>
      </c>
      <c r="G13" s="9" t="s">
        <v>315</v>
      </c>
      <c r="H13" s="9" t="s">
        <v>104</v>
      </c>
    </row>
    <row r="14" spans="1:8">
      <c r="A14" s="9">
        <v>10</v>
      </c>
      <c r="B14" s="9" t="s">
        <v>409</v>
      </c>
      <c r="C14" s="9" t="s">
        <v>408</v>
      </c>
      <c r="D14" s="9" t="s">
        <v>224</v>
      </c>
      <c r="E14" s="9" t="s">
        <v>224</v>
      </c>
      <c r="F14" s="19">
        <v>500</v>
      </c>
      <c r="G14" s="9" t="s">
        <v>315</v>
      </c>
      <c r="H14" s="9" t="s">
        <v>104</v>
      </c>
    </row>
    <row r="15" spans="1:8">
      <c r="A15" s="9">
        <v>11</v>
      </c>
      <c r="B15" s="9" t="s">
        <v>410</v>
      </c>
      <c r="C15" s="9" t="s">
        <v>408</v>
      </c>
      <c r="D15" s="9" t="s">
        <v>224</v>
      </c>
      <c r="E15" s="9" t="s">
        <v>224</v>
      </c>
      <c r="F15" s="19">
        <v>250</v>
      </c>
      <c r="G15" s="9" t="s">
        <v>315</v>
      </c>
      <c r="H15" s="9" t="s">
        <v>104</v>
      </c>
    </row>
    <row r="16" spans="1:8">
      <c r="A16" s="9">
        <v>12</v>
      </c>
      <c r="B16" s="9" t="s">
        <v>411</v>
      </c>
      <c r="C16" s="9" t="s">
        <v>408</v>
      </c>
      <c r="D16" s="9" t="s">
        <v>224</v>
      </c>
      <c r="E16" s="9" t="s">
        <v>224</v>
      </c>
      <c r="F16" s="19">
        <v>250</v>
      </c>
      <c r="G16" s="9" t="s">
        <v>315</v>
      </c>
      <c r="H16" s="9" t="s">
        <v>104</v>
      </c>
    </row>
    <row r="17" spans="1:8">
      <c r="A17" s="9">
        <v>13</v>
      </c>
      <c r="B17" s="9" t="s">
        <v>412</v>
      </c>
      <c r="C17" s="9" t="s">
        <v>413</v>
      </c>
      <c r="D17" s="9" t="s">
        <v>224</v>
      </c>
      <c r="E17" s="9" t="s">
        <v>287</v>
      </c>
      <c r="H17" s="9" t="s">
        <v>104</v>
      </c>
    </row>
    <row r="18" spans="1:8">
      <c r="A18" s="9">
        <v>14</v>
      </c>
      <c r="B18" s="9" t="s">
        <v>414</v>
      </c>
      <c r="C18" s="9" t="s">
        <v>413</v>
      </c>
      <c r="D18" s="9" t="s">
        <v>224</v>
      </c>
      <c r="E18" s="9" t="s">
        <v>287</v>
      </c>
      <c r="H18" s="9" t="s">
        <v>104</v>
      </c>
    </row>
  </sheetData>
  <sheetProtection password="B542" sheet="1" objects="1" scenarios="1" formatColumns="0" formatRows="0" autoFilter="0"/>
  <mergeCells count="1">
    <mergeCell ref="A1:H1"/>
  </mergeCells>
  <dataValidations count="4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E5:E3001">
      <formula1>L_OUINON</formula1>
    </dataValidation>
    <dataValidation type="list" errorStyle="warning" allowBlank="1" showInputMessage="1" showErrorMessage="1" error="Valeur hors liste : vérifiez la saisie." sqref="G5:G3001">
      <formula1>L_CAT_PAT</formula1>
    </dataValidation>
    <dataValidation type="list" errorStyle="warning" allowBlank="1" showInputMessage="1" showErrorMessage="1" error="Valeur hors liste : vérifiez la saisie." sqref="H5:H3001">
      <formula1>L_APPLICABLE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Utilisateurs"/>
  <dimension ref="A1:I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9" customWidth="1"/>
    <col min="2" max="2" width="34.7109375" style="9" customWidth="1"/>
    <col min="3" max="3" width="24.7109375" style="9" customWidth="1"/>
    <col min="4" max="4" width="7.7109375" style="9" customWidth="1"/>
    <col min="5" max="5" width="12.7109375" style="9" customWidth="1"/>
    <col min="6" max="6" width="30.7109375" style="9" customWidth="1"/>
    <col min="7" max="8" width="12.7109375" style="11" customWidth="1"/>
    <col min="9" max="9" width="17.7109375" style="20" customWidth="1"/>
  </cols>
  <sheetData>
    <row r="1" spans="1:9" ht="30" customHeight="1">
      <c r="A1" s="13" t="s">
        <v>415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4" spans="1:9" ht="34" customHeight="1">
      <c r="A4" s="14" t="s">
        <v>80</v>
      </c>
      <c r="B4" s="14" t="s">
        <v>416</v>
      </c>
      <c r="C4" s="14" t="s">
        <v>417</v>
      </c>
      <c r="D4" s="14" t="s">
        <v>361</v>
      </c>
      <c r="E4" s="14" t="s">
        <v>418</v>
      </c>
      <c r="F4" s="14" t="s">
        <v>419</v>
      </c>
      <c r="G4" s="14" t="s">
        <v>420</v>
      </c>
      <c r="H4" s="14" t="s">
        <v>421</v>
      </c>
      <c r="I4" s="14" t="s">
        <v>422</v>
      </c>
    </row>
    <row r="5" spans="1:9">
      <c r="A5" s="9" t="s">
        <v>423</v>
      </c>
      <c r="B5" s="9" t="s">
        <v>424</v>
      </c>
      <c r="D5" s="9" t="s">
        <v>224</v>
      </c>
      <c r="E5" s="9" t="s">
        <v>224</v>
      </c>
    </row>
    <row r="6" spans="1:9">
      <c r="A6" s="9" t="s">
        <v>425</v>
      </c>
      <c r="B6" s="9" t="s">
        <v>269</v>
      </c>
      <c r="D6" s="9" t="s">
        <v>224</v>
      </c>
      <c r="E6" s="9" t="s">
        <v>224</v>
      </c>
    </row>
    <row r="7" spans="1:9">
      <c r="A7" s="9" t="s">
        <v>426</v>
      </c>
      <c r="B7" s="9" t="s">
        <v>270</v>
      </c>
      <c r="D7" s="9" t="s">
        <v>224</v>
      </c>
      <c r="E7" s="9" t="s">
        <v>224</v>
      </c>
    </row>
    <row r="8" spans="1:9">
      <c r="A8" s="9" t="s">
        <v>427</v>
      </c>
      <c r="B8" s="9" t="s">
        <v>271</v>
      </c>
      <c r="D8" s="9" t="s">
        <v>224</v>
      </c>
      <c r="E8" s="9" t="s">
        <v>224</v>
      </c>
    </row>
    <row r="9" spans="1:9">
      <c r="A9" s="9" t="s">
        <v>428</v>
      </c>
      <c r="B9" s="9" t="s">
        <v>272</v>
      </c>
      <c r="D9" s="9" t="s">
        <v>224</v>
      </c>
      <c r="E9" s="9" t="s">
        <v>224</v>
      </c>
    </row>
    <row r="10" spans="1:9">
      <c r="A10" s="9" t="s">
        <v>429</v>
      </c>
      <c r="B10" s="9" t="s">
        <v>273</v>
      </c>
      <c r="D10" s="9" t="s">
        <v>224</v>
      </c>
      <c r="E10" s="9" t="s">
        <v>224</v>
      </c>
    </row>
    <row r="11" spans="1:9">
      <c r="A11" s="9" t="s">
        <v>430</v>
      </c>
      <c r="B11" s="9" t="s">
        <v>274</v>
      </c>
      <c r="D11" s="9" t="s">
        <v>224</v>
      </c>
      <c r="E11" s="9" t="s">
        <v>224</v>
      </c>
    </row>
    <row r="12" spans="1:9">
      <c r="A12" s="9" t="s">
        <v>431</v>
      </c>
      <c r="B12" s="9" t="s">
        <v>432</v>
      </c>
      <c r="D12" s="9" t="s">
        <v>224</v>
      </c>
      <c r="E12" s="9" t="s">
        <v>224</v>
      </c>
    </row>
    <row r="13" spans="1:9">
      <c r="A13" s="9" t="s">
        <v>433</v>
      </c>
      <c r="B13" s="9" t="s">
        <v>434</v>
      </c>
      <c r="D13" s="9" t="s">
        <v>224</v>
      </c>
      <c r="E13" s="9" t="s">
        <v>224</v>
      </c>
    </row>
  </sheetData>
  <sheetProtection password="B542" sheet="1" objects="1" scenarios="1" formatColumns="0" formatRows="0" autoFilter="0"/>
  <mergeCells count="1">
    <mergeCell ref="A1:I1"/>
  </mergeCells>
  <dataValidations count="2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F5:F3001">
      <formula1>L_ROLES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Journal"/>
  <dimension ref="A1:H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7.7109375" style="20" customWidth="1"/>
    <col min="2" max="2" width="26.7109375" style="9" customWidth="1"/>
    <col min="3" max="3" width="20.7109375" style="9" customWidth="1"/>
    <col min="4" max="4" width="18.7109375" style="9" customWidth="1"/>
    <col min="5" max="5" width="24.7109375" style="9" customWidth="1"/>
    <col min="6" max="6" width="90.7109375" style="9" customWidth="1"/>
  </cols>
  <sheetData>
    <row r="1" spans="1:8" ht="30" customHeight="1">
      <c r="A1" s="13" t="s">
        <v>435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436</v>
      </c>
      <c r="B4" s="14" t="s">
        <v>416</v>
      </c>
      <c r="C4" s="14" t="s">
        <v>417</v>
      </c>
      <c r="D4" s="14" t="s">
        <v>437</v>
      </c>
      <c r="E4" s="14" t="s">
        <v>438</v>
      </c>
      <c r="F4" s="14" t="s">
        <v>439</v>
      </c>
    </row>
  </sheetData>
  <sheetProtection password="B542" sheet="1" objects="1" scenarios="1" formatColumns="0" formatRows="0" autoFilter="0"/>
  <autoFilter ref="A4:F5"/>
  <mergeCells count="1">
    <mergeCell ref="A1:H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Droits"/>
  <dimension ref="A1:K18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40.7109375" style="9" customWidth="1"/>
    <col min="3" max="11" width="8.7109375" style="9" customWidth="1"/>
  </cols>
  <sheetData>
    <row r="1" spans="1:11" ht="30" customHeight="1">
      <c r="A1" s="13" t="s">
        <v>440</v>
      </c>
      <c r="B1" s="13"/>
      <c r="C1" s="13"/>
      <c r="D1" s="13"/>
      <c r="E1" s="13"/>
      <c r="F1" s="13"/>
      <c r="G1" s="13"/>
      <c r="H1" s="13"/>
      <c r="I1" s="13"/>
      <c r="J1" s="13"/>
      <c r="K1" s="13"/>
    </row>
    <row r="2" spans="1:11" ht="22" customHeight="1"/>
    <row r="3" spans="1:11" ht="12" customHeight="1"/>
    <row r="4" spans="1:11" ht="34" customHeight="1">
      <c r="A4" s="14" t="s">
        <v>441</v>
      </c>
      <c r="B4" s="14" t="s">
        <v>129</v>
      </c>
      <c r="C4" s="14" t="s">
        <v>423</v>
      </c>
      <c r="D4" s="14" t="s">
        <v>425</v>
      </c>
      <c r="E4" s="14" t="s">
        <v>426</v>
      </c>
      <c r="F4" s="14" t="s">
        <v>427</v>
      </c>
      <c r="G4" s="14" t="s">
        <v>428</v>
      </c>
      <c r="H4" s="14" t="s">
        <v>429</v>
      </c>
      <c r="I4" s="14" t="s">
        <v>430</v>
      </c>
      <c r="J4" s="14" t="s">
        <v>431</v>
      </c>
      <c r="K4" s="14" t="s">
        <v>433</v>
      </c>
    </row>
    <row r="5" spans="1:11">
      <c r="A5" s="9" t="s">
        <v>442</v>
      </c>
      <c r="B5" s="9" t="s">
        <v>443</v>
      </c>
      <c r="C5" s="9" t="s">
        <v>291</v>
      </c>
      <c r="D5" s="9" t="s">
        <v>444</v>
      </c>
      <c r="E5" s="9" t="s">
        <v>445</v>
      </c>
      <c r="F5" s="9" t="s">
        <v>445</v>
      </c>
      <c r="G5" s="9" t="s">
        <v>445</v>
      </c>
      <c r="H5" s="9" t="s">
        <v>445</v>
      </c>
      <c r="I5" s="9" t="s">
        <v>445</v>
      </c>
      <c r="J5" s="9" t="s">
        <v>445</v>
      </c>
      <c r="K5" s="9" t="s">
        <v>445</v>
      </c>
    </row>
    <row r="6" spans="1:11">
      <c r="A6" s="9" t="s">
        <v>446</v>
      </c>
      <c r="B6" s="9" t="s">
        <v>447</v>
      </c>
      <c r="C6" s="9" t="s">
        <v>291</v>
      </c>
      <c r="D6" s="9" t="s">
        <v>445</v>
      </c>
      <c r="E6" s="9" t="s">
        <v>445</v>
      </c>
      <c r="F6" s="9" t="s">
        <v>445</v>
      </c>
      <c r="G6" s="9" t="s">
        <v>445</v>
      </c>
      <c r="H6" s="9" t="s">
        <v>445</v>
      </c>
      <c r="I6" s="9" t="s">
        <v>445</v>
      </c>
      <c r="J6" s="9" t="s">
        <v>445</v>
      </c>
      <c r="K6" s="9" t="s">
        <v>445</v>
      </c>
    </row>
    <row r="7" spans="1:11">
      <c r="A7" s="9" t="s">
        <v>448</v>
      </c>
      <c r="B7" s="9" t="s">
        <v>449</v>
      </c>
      <c r="C7" s="9" t="s">
        <v>291</v>
      </c>
      <c r="D7" s="9" t="s">
        <v>444</v>
      </c>
      <c r="E7" s="9" t="s">
        <v>444</v>
      </c>
      <c r="F7" s="9" t="s">
        <v>291</v>
      </c>
      <c r="G7" s="9" t="s">
        <v>291</v>
      </c>
      <c r="H7" s="9" t="s">
        <v>444</v>
      </c>
      <c r="I7" s="9" t="s">
        <v>445</v>
      </c>
      <c r="J7" s="9" t="s">
        <v>444</v>
      </c>
      <c r="K7" s="9" t="s">
        <v>444</v>
      </c>
    </row>
    <row r="8" spans="1:11">
      <c r="A8" s="9" t="s">
        <v>450</v>
      </c>
      <c r="B8" s="9" t="s">
        <v>451</v>
      </c>
      <c r="C8" s="9" t="s">
        <v>291</v>
      </c>
      <c r="D8" s="9" t="s">
        <v>444</v>
      </c>
      <c r="E8" s="9" t="s">
        <v>444</v>
      </c>
      <c r="F8" s="9" t="s">
        <v>291</v>
      </c>
      <c r="G8" s="9" t="s">
        <v>291</v>
      </c>
      <c r="H8" s="9" t="s">
        <v>445</v>
      </c>
      <c r="I8" s="9" t="s">
        <v>445</v>
      </c>
      <c r="J8" s="9" t="s">
        <v>444</v>
      </c>
      <c r="K8" s="9" t="s">
        <v>444</v>
      </c>
    </row>
    <row r="9" spans="1:11">
      <c r="A9" s="9" t="s">
        <v>452</v>
      </c>
      <c r="B9" s="9" t="s">
        <v>453</v>
      </c>
      <c r="C9" s="9" t="s">
        <v>291</v>
      </c>
      <c r="D9" s="9" t="s">
        <v>444</v>
      </c>
      <c r="E9" s="9" t="s">
        <v>444</v>
      </c>
      <c r="F9" s="9" t="s">
        <v>445</v>
      </c>
      <c r="G9" s="9" t="s">
        <v>445</v>
      </c>
      <c r="H9" s="9" t="s">
        <v>291</v>
      </c>
      <c r="I9" s="9" t="s">
        <v>444</v>
      </c>
      <c r="J9" s="9" t="s">
        <v>445</v>
      </c>
      <c r="K9" s="9" t="s">
        <v>445</v>
      </c>
    </row>
    <row r="10" spans="1:11">
      <c r="A10" s="9" t="s">
        <v>454</v>
      </c>
      <c r="B10" s="9" t="s">
        <v>455</v>
      </c>
      <c r="C10" s="9" t="s">
        <v>291</v>
      </c>
      <c r="D10" s="9" t="s">
        <v>444</v>
      </c>
      <c r="E10" s="9" t="s">
        <v>444</v>
      </c>
      <c r="F10" s="9" t="s">
        <v>444</v>
      </c>
      <c r="G10" s="9" t="s">
        <v>444</v>
      </c>
      <c r="H10" s="9" t="s">
        <v>291</v>
      </c>
      <c r="I10" s="9" t="s">
        <v>444</v>
      </c>
      <c r="J10" s="9" t="s">
        <v>445</v>
      </c>
      <c r="K10" s="9" t="s">
        <v>445</v>
      </c>
    </row>
    <row r="11" spans="1:11">
      <c r="A11" s="9" t="s">
        <v>345</v>
      </c>
      <c r="B11" s="9" t="s">
        <v>456</v>
      </c>
      <c r="C11" s="9" t="s">
        <v>291</v>
      </c>
      <c r="D11" s="9" t="s">
        <v>444</v>
      </c>
      <c r="E11" s="9" t="s">
        <v>291</v>
      </c>
      <c r="F11" s="9" t="s">
        <v>444</v>
      </c>
      <c r="G11" s="9" t="s">
        <v>444</v>
      </c>
      <c r="H11" s="9" t="s">
        <v>291</v>
      </c>
      <c r="I11" s="9" t="s">
        <v>444</v>
      </c>
      <c r="J11" s="9" t="s">
        <v>445</v>
      </c>
      <c r="K11" s="9" t="s">
        <v>445</v>
      </c>
    </row>
    <row r="12" spans="1:11">
      <c r="A12" s="9" t="s">
        <v>457</v>
      </c>
      <c r="B12" s="9" t="s">
        <v>458</v>
      </c>
      <c r="C12" s="9" t="s">
        <v>291</v>
      </c>
      <c r="D12" s="9" t="s">
        <v>444</v>
      </c>
      <c r="E12" s="9" t="s">
        <v>444</v>
      </c>
      <c r="F12" s="9" t="s">
        <v>445</v>
      </c>
      <c r="G12" s="9" t="s">
        <v>445</v>
      </c>
      <c r="H12" s="9" t="s">
        <v>444</v>
      </c>
      <c r="I12" s="9" t="s">
        <v>291</v>
      </c>
      <c r="J12" s="9" t="s">
        <v>445</v>
      </c>
      <c r="K12" s="9" t="s">
        <v>444</v>
      </c>
    </row>
    <row r="13" spans="1:11">
      <c r="A13" s="9" t="s">
        <v>459</v>
      </c>
      <c r="B13" s="9" t="s">
        <v>460</v>
      </c>
      <c r="C13" s="9" t="s">
        <v>291</v>
      </c>
      <c r="D13" s="9" t="s">
        <v>291</v>
      </c>
      <c r="E13" s="9" t="s">
        <v>291</v>
      </c>
      <c r="F13" s="9" t="s">
        <v>444</v>
      </c>
      <c r="G13" s="9" t="s">
        <v>444</v>
      </c>
      <c r="H13" s="9" t="s">
        <v>445</v>
      </c>
      <c r="I13" s="9" t="s">
        <v>445</v>
      </c>
      <c r="J13" s="9" t="s">
        <v>444</v>
      </c>
      <c r="K13" s="9" t="s">
        <v>445</v>
      </c>
    </row>
    <row r="14" spans="1:11">
      <c r="A14" s="9" t="s">
        <v>461</v>
      </c>
      <c r="B14" s="9" t="s">
        <v>462</v>
      </c>
      <c r="C14" s="9" t="s">
        <v>291</v>
      </c>
      <c r="D14" s="9" t="s">
        <v>291</v>
      </c>
      <c r="E14" s="9" t="s">
        <v>291</v>
      </c>
      <c r="F14" s="9" t="s">
        <v>291</v>
      </c>
      <c r="G14" s="9" t="s">
        <v>291</v>
      </c>
      <c r="H14" s="9" t="s">
        <v>444</v>
      </c>
      <c r="I14" s="9" t="s">
        <v>444</v>
      </c>
      <c r="J14" s="9" t="s">
        <v>291</v>
      </c>
      <c r="K14" s="9" t="s">
        <v>444</v>
      </c>
    </row>
    <row r="15" spans="1:11">
      <c r="A15" s="9" t="s">
        <v>463</v>
      </c>
      <c r="B15" s="9" t="s">
        <v>464</v>
      </c>
      <c r="C15" s="9" t="s">
        <v>291</v>
      </c>
      <c r="D15" s="9" t="s">
        <v>291</v>
      </c>
      <c r="E15" s="9" t="s">
        <v>444</v>
      </c>
      <c r="F15" s="9" t="s">
        <v>291</v>
      </c>
      <c r="G15" s="9" t="s">
        <v>444</v>
      </c>
      <c r="H15" s="9" t="s">
        <v>445</v>
      </c>
      <c r="I15" s="9" t="s">
        <v>445</v>
      </c>
      <c r="J15" s="9" t="s">
        <v>445</v>
      </c>
      <c r="K15" s="9" t="s">
        <v>444</v>
      </c>
    </row>
    <row r="16" spans="1:11">
      <c r="A16" s="9" t="s">
        <v>465</v>
      </c>
      <c r="B16" s="9" t="s">
        <v>466</v>
      </c>
      <c r="C16" s="9" t="s">
        <v>291</v>
      </c>
      <c r="D16" s="9" t="s">
        <v>444</v>
      </c>
      <c r="E16" s="9" t="s">
        <v>444</v>
      </c>
      <c r="F16" s="9" t="s">
        <v>444</v>
      </c>
      <c r="G16" s="9" t="s">
        <v>444</v>
      </c>
      <c r="H16" s="9" t="s">
        <v>445</v>
      </c>
      <c r="I16" s="9" t="s">
        <v>445</v>
      </c>
      <c r="J16" s="9" t="s">
        <v>291</v>
      </c>
      <c r="K16" s="9" t="s">
        <v>444</v>
      </c>
    </row>
    <row r="17" spans="1:11">
      <c r="A17" s="9" t="s">
        <v>467</v>
      </c>
      <c r="B17" s="9" t="s">
        <v>468</v>
      </c>
      <c r="C17" s="9" t="s">
        <v>291</v>
      </c>
      <c r="D17" s="9" t="s">
        <v>444</v>
      </c>
      <c r="E17" s="9" t="s">
        <v>444</v>
      </c>
      <c r="F17" s="9" t="s">
        <v>444</v>
      </c>
      <c r="G17" s="9" t="s">
        <v>444</v>
      </c>
      <c r="H17" s="9" t="s">
        <v>444</v>
      </c>
      <c r="I17" s="9" t="s">
        <v>444</v>
      </c>
      <c r="J17" s="9" t="s">
        <v>444</v>
      </c>
      <c r="K17" s="9" t="s">
        <v>444</v>
      </c>
    </row>
    <row r="18" spans="1:11">
      <c r="A18" s="9" t="s">
        <v>469</v>
      </c>
      <c r="B18" s="9" t="s">
        <v>470</v>
      </c>
      <c r="C18" s="9" t="s">
        <v>444</v>
      </c>
      <c r="D18" s="9" t="s">
        <v>445</v>
      </c>
      <c r="E18" s="9" t="s">
        <v>445</v>
      </c>
      <c r="F18" s="9" t="s">
        <v>445</v>
      </c>
      <c r="G18" s="9" t="s">
        <v>445</v>
      </c>
      <c r="H18" s="9" t="s">
        <v>445</v>
      </c>
      <c r="I18" s="9" t="s">
        <v>445</v>
      </c>
      <c r="J18" s="9" t="s">
        <v>445</v>
      </c>
      <c r="K18" s="9" t="s">
        <v>445</v>
      </c>
    </row>
  </sheetData>
  <sheetProtection password="B542" sheet="1" objects="1" scenarios="1" formatColumns="0" formatRows="0" autoFilter="0"/>
  <mergeCells count="1">
    <mergeCell ref="A1:K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Securite"/>
  <dimension ref="A1:H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0.7109375" style="9" customWidth="1"/>
    <col min="2" max="2" width="20.7109375" style="9" customWidth="1"/>
    <col min="3" max="3" width="70.7109375" style="9" customWidth="1"/>
  </cols>
  <sheetData>
    <row r="1" spans="1:8" ht="30" customHeight="1">
      <c r="A1" s="13" t="s">
        <v>471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80</v>
      </c>
      <c r="B4" s="14" t="s">
        <v>472</v>
      </c>
      <c r="C4" s="14" t="s">
        <v>473</v>
      </c>
    </row>
    <row r="5" spans="1:8">
      <c r="A5" s="9" t="s">
        <v>423</v>
      </c>
      <c r="B5" s="9" t="s">
        <v>474</v>
      </c>
      <c r="C5" s="9" t="s">
        <v>475</v>
      </c>
    </row>
    <row r="6" spans="1:8">
      <c r="A6" s="9" t="s">
        <v>425</v>
      </c>
      <c r="B6" s="9" t="s">
        <v>476</v>
      </c>
      <c r="C6" s="9" t="s">
        <v>477</v>
      </c>
    </row>
    <row r="7" spans="1:8">
      <c r="A7" s="9" t="s">
        <v>426</v>
      </c>
      <c r="B7" s="9" t="s">
        <v>478</v>
      </c>
      <c r="C7" s="9" t="s">
        <v>479</v>
      </c>
    </row>
    <row r="8" spans="1:8">
      <c r="A8" s="9" t="s">
        <v>427</v>
      </c>
      <c r="B8" s="9" t="s">
        <v>480</v>
      </c>
      <c r="C8" s="9" t="s">
        <v>481</v>
      </c>
    </row>
    <row r="9" spans="1:8">
      <c r="A9" s="9" t="s">
        <v>428</v>
      </c>
      <c r="B9" s="9" t="s">
        <v>482</v>
      </c>
      <c r="C9" s="9" t="s">
        <v>483</v>
      </c>
    </row>
    <row r="10" spans="1:8">
      <c r="A10" s="9" t="s">
        <v>429</v>
      </c>
      <c r="B10" s="9" t="s">
        <v>484</v>
      </c>
      <c r="C10" s="9" t="s">
        <v>485</v>
      </c>
    </row>
    <row r="11" spans="1:8">
      <c r="A11" s="9" t="s">
        <v>430</v>
      </c>
      <c r="B11" s="9" t="s">
        <v>486</v>
      </c>
      <c r="C11" s="9" t="s">
        <v>487</v>
      </c>
    </row>
    <row r="12" spans="1:8">
      <c r="A12" s="9" t="s">
        <v>431</v>
      </c>
      <c r="B12" s="9" t="s">
        <v>488</v>
      </c>
      <c r="C12" s="9" t="s">
        <v>489</v>
      </c>
    </row>
    <row r="13" spans="1:8">
      <c r="A13" s="9" t="s">
        <v>433</v>
      </c>
      <c r="B13" s="9" t="s">
        <v>490</v>
      </c>
      <c r="C13" s="9" t="s">
        <v>491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Caisse"/>
  <dimension ref="A1:U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11" customWidth="1"/>
    <col min="3" max="4" width="9.7109375" style="9" customWidth="1"/>
    <col min="5" max="5" width="15.7109375" style="9" customWidth="1"/>
    <col min="6" max="6" width="7.7109375" style="9" customWidth="1"/>
    <col min="7" max="7" width="24.7109375" style="9" customWidth="1"/>
    <col min="8" max="8" width="26.7109375" style="9" customWidth="1"/>
    <col min="9" max="9" width="9.7109375" style="9" customWidth="1"/>
    <col min="10" max="10" width="32.7109375" style="9" customWidth="1"/>
    <col min="11" max="11" width="11.7109375" style="9" customWidth="1"/>
    <col min="12" max="12" width="24.7109375" style="9" customWidth="1"/>
    <col min="13" max="13" width="15.7109375" style="9" customWidth="1"/>
    <col min="14" max="15" width="12.7109375" style="19" customWidth="1"/>
    <col min="16" max="16" width="16.7109375" style="9" customWidth="1"/>
    <col min="17" max="18" width="14.7109375" style="9" customWidth="1"/>
    <col min="19" max="19" width="13.7109375" style="9" customWidth="1"/>
    <col min="20" max="20" width="16.7109375" style="20" customWidth="1"/>
    <col min="21" max="21" width="20.7109375" style="9" customWidth="1"/>
  </cols>
  <sheetData>
    <row r="1" spans="1:21" ht="30" customHeight="1">
      <c r="A1" s="13" t="s">
        <v>492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</row>
    <row r="2" spans="1:21" ht="22" customHeight="1"/>
    <row r="3" spans="1:21" ht="12" customHeight="1"/>
    <row r="4" spans="1:21" ht="34" customHeight="1">
      <c r="A4" s="14" t="s">
        <v>493</v>
      </c>
      <c r="B4" s="14" t="s">
        <v>68</v>
      </c>
      <c r="C4" s="14" t="s">
        <v>149</v>
      </c>
      <c r="D4" s="14" t="s">
        <v>335</v>
      </c>
      <c r="E4" s="14" t="s">
        <v>338</v>
      </c>
      <c r="F4" s="14" t="s">
        <v>80</v>
      </c>
      <c r="G4" s="14" t="s">
        <v>494</v>
      </c>
      <c r="H4" s="14" t="s">
        <v>495</v>
      </c>
      <c r="I4" s="14" t="s">
        <v>343</v>
      </c>
      <c r="J4" s="14" t="s">
        <v>71</v>
      </c>
      <c r="K4" s="14" t="s">
        <v>9</v>
      </c>
      <c r="L4" s="14" t="s">
        <v>496</v>
      </c>
      <c r="M4" s="14" t="s">
        <v>497</v>
      </c>
      <c r="N4" s="14" t="s">
        <v>498</v>
      </c>
      <c r="O4" s="14" t="s">
        <v>499</v>
      </c>
      <c r="P4" s="14" t="s">
        <v>500</v>
      </c>
      <c r="Q4" s="14" t="s">
        <v>501</v>
      </c>
      <c r="R4" s="14" t="s">
        <v>32</v>
      </c>
      <c r="S4" s="14" t="s">
        <v>502</v>
      </c>
      <c r="T4" s="14" t="s">
        <v>87</v>
      </c>
      <c r="U4" s="14" t="s">
        <v>88</v>
      </c>
    </row>
  </sheetData>
  <sheetProtection password="B542" sheet="1" objects="1" scenarios="1" formatColumns="0" formatRows="0" autoFilter="0"/>
  <autoFilter ref="A4:U5"/>
  <mergeCells count="1">
    <mergeCell ref="A1:U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Saisie"/>
  <dimension ref="A1:H17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46.7109375" customWidth="1"/>
    <col min="4" max="4" width="3.7109375" customWidth="1"/>
    <col min="5" max="5" width="50.7109375" customWidth="1"/>
    <col min="6" max="6" width="22.7109375" customWidth="1"/>
    <col min="7" max="7" width="16.7109375" customWidth="1"/>
  </cols>
  <sheetData>
    <row r="1" spans="1:8" ht="30" customHeight="1">
      <c r="A1" s="13" t="s">
        <v>503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>
      <c r="B4" s="14" t="s">
        <v>504</v>
      </c>
      <c r="C4" s="14"/>
      <c r="F4" s="14" t="s">
        <v>505</v>
      </c>
      <c r="G4" s="14"/>
    </row>
    <row r="5" spans="1:8" ht="20" customHeight="1">
      <c r="B5" s="7" t="s">
        <v>68</v>
      </c>
      <c r="C5" s="21"/>
      <c r="E5" s="18" t="s">
        <v>506</v>
      </c>
      <c r="F5" s="7" t="s">
        <v>336</v>
      </c>
      <c r="G5" s="19"/>
    </row>
    <row r="6" spans="1:8" ht="20" customHeight="1">
      <c r="B6" s="7" t="s">
        <v>335</v>
      </c>
      <c r="C6" s="17"/>
      <c r="E6" s="18" t="s">
        <v>507</v>
      </c>
      <c r="F6" s="7" t="s">
        <v>337</v>
      </c>
      <c r="G6" s="19"/>
    </row>
    <row r="7" spans="1:8" ht="20" customHeight="1">
      <c r="B7" s="7" t="s">
        <v>338</v>
      </c>
      <c r="C7" s="17"/>
      <c r="E7" s="18" t="s">
        <v>508</v>
      </c>
      <c r="F7" s="7" t="s">
        <v>520</v>
      </c>
      <c r="G7" s="19"/>
    </row>
    <row r="8" spans="1:8" ht="20" customHeight="1">
      <c r="B8" s="7" t="s">
        <v>494</v>
      </c>
      <c r="C8" s="17"/>
      <c r="E8" s="18" t="s">
        <v>509</v>
      </c>
      <c r="F8" s="7" t="s">
        <v>521</v>
      </c>
      <c r="G8" s="19"/>
    </row>
    <row r="9" spans="1:8" ht="20" customHeight="1">
      <c r="B9" s="7" t="s">
        <v>71</v>
      </c>
      <c r="C9" s="17"/>
      <c r="E9" s="18" t="s">
        <v>510</v>
      </c>
      <c r="F9" s="7" t="s">
        <v>522</v>
      </c>
      <c r="G9" s="19"/>
    </row>
    <row r="10" spans="1:8" ht="20" customHeight="1">
      <c r="B10" s="7" t="s">
        <v>511</v>
      </c>
      <c r="C10" s="17"/>
      <c r="E10" s="18" t="s">
        <v>512</v>
      </c>
      <c r="F10" s="7" t="s">
        <v>523</v>
      </c>
      <c r="G10" s="19"/>
    </row>
    <row r="11" spans="1:8" ht="20" customHeight="1">
      <c r="B11" s="7" t="s">
        <v>513</v>
      </c>
      <c r="C11" s="17"/>
      <c r="E11" s="18" t="s">
        <v>514</v>
      </c>
    </row>
    <row r="12" spans="1:8" ht="20" customHeight="1">
      <c r="B12" s="7" t="s">
        <v>497</v>
      </c>
      <c r="C12" s="17"/>
      <c r="E12" s="18" t="s">
        <v>515</v>
      </c>
    </row>
    <row r="13" spans="1:8" ht="20" customHeight="1">
      <c r="B13" s="7" t="s">
        <v>516</v>
      </c>
      <c r="C13" s="17"/>
      <c r="E13" s="18" t="s">
        <v>517</v>
      </c>
    </row>
    <row r="14" spans="1:8" ht="20" customHeight="1">
      <c r="B14" s="7" t="s">
        <v>518</v>
      </c>
      <c r="C14" s="17"/>
      <c r="E14" s="18" t="s">
        <v>519</v>
      </c>
    </row>
    <row r="17" spans="2:2">
      <c r="B17" s="5" t="s">
        <v>524</v>
      </c>
    </row>
  </sheetData>
  <sheetProtection password="B542" sheet="1" objects="1" scenarios="1" formatColumns="0" formatRows="0" autoFilter="0"/>
  <mergeCells count="3">
    <mergeCell ref="A1:H1"/>
    <mergeCell ref="B4:C4"/>
    <mergeCell ref="F4:G4"/>
  </mergeCells>
  <dataValidations count="4">
    <dataValidation type="list" allowBlank="1" showInputMessage="1" showErrorMessage="1" sqref="C6">
      <formula1>L_CAISSES</formula1>
    </dataValidation>
    <dataValidation type="list" allowBlank="1" showInputMessage="1" showErrorMessage="1" sqref="C7">
      <formula1>L_OPERATIONS</formula1>
    </dataValidation>
    <dataValidation type="list" errorStyle="warning" allowBlank="1" showInputMessage="1" showErrorMessage="1" sqref="C8">
      <formula1>L_RUBRIQUES</formula1>
    </dataValidation>
    <dataValidation type="list" allowBlank="1" showInputMessage="1" showErrorMessage="1" sqref="C14">
      <formula1>L_CAISSES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Cotisations">
    <pageSetUpPr fitToPage="1"/>
  </sheetPr>
  <dimension ref="A1:P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9" customWidth="1"/>
    <col min="2" max="2" width="26.7109375" style="9" customWidth="1"/>
    <col min="3" max="3" width="15.7109375" style="9" customWidth="1"/>
    <col min="4" max="4" width="13.7109375" style="9" customWidth="1"/>
    <col min="5" max="5" width="11.7109375" style="11" customWidth="1"/>
    <col min="6" max="6" width="7.7109375" style="12" customWidth="1"/>
    <col min="7" max="9" width="11.7109375" style="19" customWidth="1"/>
    <col min="10" max="10" width="9.7109375" style="12" customWidth="1"/>
    <col min="11" max="11" width="11.7109375" style="9" customWidth="1"/>
    <col min="12" max="14" width="10.7109375" style="19" customWidth="1"/>
    <col min="15" max="15" width="11.7109375" style="19" customWidth="1"/>
    <col min="16" max="16" width="70.7109375" style="9" customWidth="1"/>
  </cols>
  <sheetData>
    <row r="1" spans="1:16" ht="30" customHeight="1">
      <c r="A1" s="13" t="s">
        <v>525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16" ht="22" customHeight="1"/>
    <row r="3" spans="1:16" ht="12" customHeight="1"/>
    <row r="5" spans="1:16">
      <c r="B5" s="7" t="s">
        <v>538</v>
      </c>
      <c r="C5" s="21"/>
    </row>
    <row r="6" spans="1:16">
      <c r="B6" s="7" t="s">
        <v>539</v>
      </c>
      <c r="C6" s="22"/>
    </row>
    <row r="8" spans="1:16" ht="32" customHeight="1">
      <c r="A8" s="14" t="s">
        <v>9</v>
      </c>
      <c r="B8" s="14" t="s">
        <v>37</v>
      </c>
      <c r="C8" s="14" t="s">
        <v>32</v>
      </c>
      <c r="D8" s="14" t="s">
        <v>15</v>
      </c>
      <c r="E8" s="14" t="s">
        <v>526</v>
      </c>
      <c r="F8" s="14" t="s">
        <v>527</v>
      </c>
      <c r="G8" s="14" t="s">
        <v>528</v>
      </c>
      <c r="H8" s="14" t="s">
        <v>529</v>
      </c>
      <c r="I8" s="14" t="s">
        <v>530</v>
      </c>
      <c r="J8" s="14" t="s">
        <v>531</v>
      </c>
      <c r="K8" s="14" t="s">
        <v>532</v>
      </c>
      <c r="L8" s="14" t="s">
        <v>533</v>
      </c>
      <c r="M8" s="14" t="s">
        <v>534</v>
      </c>
      <c r="N8" s="14" t="s">
        <v>535</v>
      </c>
      <c r="O8" s="14" t="s">
        <v>536</v>
      </c>
      <c r="P8" s="14" t="s">
        <v>537</v>
      </c>
    </row>
  </sheetData>
  <sheetProtection password="B542" sheet="1" objects="1" scenarios="1" formatColumns="0" formatRows="0" autoFilter="0"/>
  <mergeCells count="1">
    <mergeCell ref="A1:P1"/>
  </mergeCells>
  <pageMargins left="0.7" right="0.7" top="0.75" bottom="0.75" header="0.3" footer="0.3"/>
  <pageSetup paperSize="9" fitToHeight="0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Campagnes"/>
  <dimension ref="A1:K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34.7109375" style="9" customWidth="1"/>
    <col min="3" max="3" width="12.7109375" style="19" customWidth="1"/>
    <col min="4" max="4" width="11.7109375" style="11" customWidth="1"/>
    <col min="5" max="5" width="9.7109375" style="9" customWidth="1"/>
    <col min="6" max="6" width="14.7109375" style="9" customWidth="1"/>
    <col min="7" max="7" width="10.7109375" style="9" customWidth="1"/>
    <col min="8" max="8" width="10.7109375" style="12" customWidth="1"/>
    <col min="9" max="10" width="13.7109375" style="19" customWidth="1"/>
    <col min="11" max="11" width="11.7109375" style="11" customWidth="1"/>
  </cols>
  <sheetData>
    <row r="1" spans="1:11" ht="30" customHeight="1">
      <c r="A1" s="13" t="s">
        <v>540</v>
      </c>
      <c r="B1" s="13"/>
      <c r="C1" s="13"/>
      <c r="D1" s="13"/>
      <c r="E1" s="13"/>
      <c r="F1" s="13"/>
      <c r="G1" s="13"/>
      <c r="H1" s="13"/>
      <c r="I1" s="13"/>
      <c r="J1" s="13"/>
      <c r="K1" s="13"/>
    </row>
    <row r="2" spans="1:11" ht="22" customHeight="1"/>
    <row r="3" spans="1:11" ht="12" customHeight="1"/>
    <row r="4" spans="1:11" ht="34" customHeight="1">
      <c r="A4" s="14" t="s">
        <v>80</v>
      </c>
      <c r="B4" s="14" t="s">
        <v>71</v>
      </c>
      <c r="C4" s="14" t="s">
        <v>541</v>
      </c>
      <c r="D4" s="14" t="s">
        <v>542</v>
      </c>
      <c r="E4" s="14" t="s">
        <v>543</v>
      </c>
      <c r="F4" s="14" t="s">
        <v>544</v>
      </c>
      <c r="G4" s="14" t="s">
        <v>32</v>
      </c>
      <c r="H4" s="14" t="s">
        <v>545</v>
      </c>
      <c r="I4" s="14" t="s">
        <v>546</v>
      </c>
      <c r="J4" s="14" t="s">
        <v>547</v>
      </c>
      <c r="K4" s="14" t="s">
        <v>548</v>
      </c>
    </row>
  </sheetData>
  <sheetProtection password="B542" sheet="1" objects="1" scenarios="1" formatColumns="0" formatRows="0" autoFilter="0"/>
  <autoFilter ref="A4:K5"/>
  <mergeCells count="1">
    <mergeCell ref="A1:K1"/>
  </mergeCells>
  <dataValidations count="1">
    <dataValidation type="list" errorStyle="warning" allowBlank="1" showInputMessage="1" showErrorMessage="1" error="Valeur hors liste : vérifiez la saisie." sqref="G5:G3001">
      <formula1>L_STATUTS_CAMPAGNE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SuiviCampagne">
    <pageSetUpPr fitToPage="1"/>
  </sheetPr>
  <dimension ref="A1:H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9" customWidth="1"/>
    <col min="2" max="2" width="28.7109375" style="9" customWidth="1"/>
    <col min="3" max="3" width="15.7109375" style="9" customWidth="1"/>
    <col min="4" max="6" width="11.7109375" style="19" customWidth="1"/>
    <col min="7" max="7" width="12.7109375" style="11" customWidth="1"/>
  </cols>
  <sheetData>
    <row r="1" spans="1:8" ht="30" customHeight="1">
      <c r="A1" s="13" t="s">
        <v>549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551</v>
      </c>
      <c r="C5" s="17"/>
    </row>
    <row r="8" spans="1:8" ht="32" customHeight="1">
      <c r="A8" s="14" t="s">
        <v>9</v>
      </c>
      <c r="B8" s="14" t="s">
        <v>37</v>
      </c>
      <c r="C8" s="14" t="s">
        <v>32</v>
      </c>
      <c r="D8" s="14" t="s">
        <v>528</v>
      </c>
      <c r="E8" s="14" t="s">
        <v>529</v>
      </c>
      <c r="F8" s="14" t="s">
        <v>530</v>
      </c>
      <c r="G8" s="14" t="s">
        <v>550</v>
      </c>
    </row>
  </sheetData>
  <sheetProtection password="B542" sheet="1" objects="1" scenarios="1" formatColumns="0" formatRows="0" autoFilter="0"/>
  <mergeCells count="1">
    <mergeCell ref="A1:H1"/>
  </mergeCells>
  <dataValidations count="1">
    <dataValidation type="list" errorStyle="warning" allowBlank="1" showInputMessage="1" showErrorMessage="1" sqref="C5">
      <formula1>L_CAMPAGNES</formula1>
    </dataValidation>
  </dataValidations>
  <pageMargins left="0.7" right="0.7" top="0.75" bottom="0.75" header="0.3" footer="0.3"/>
  <pageSetup paperSize="9" fitToHeight="0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Social"/>
  <dimension ref="A1:Q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11" customWidth="1"/>
    <col min="3" max="3" width="34.7109375" style="9" customWidth="1"/>
    <col min="4" max="4" width="10.7109375" style="9" customWidth="1"/>
    <col min="5" max="5" width="11.7109375" style="9" customWidth="1"/>
    <col min="6" max="6" width="24.7109375" style="9" customWidth="1"/>
    <col min="7" max="7" width="26.7109375" style="9" customWidth="1"/>
    <col min="8" max="8" width="12.7109375" style="19" customWidth="1"/>
    <col min="9" max="9" width="13.7109375" style="9" customWidth="1"/>
    <col min="10" max="13" width="12.7109375" style="19" customWidth="1"/>
    <col min="14" max="14" width="13.7109375" style="19" customWidth="1"/>
    <col min="15" max="15" width="34.7109375" style="9" customWidth="1"/>
    <col min="16" max="16" width="20.7109375" style="9" customWidth="1"/>
    <col min="17" max="17" width="10.7109375" style="9" customWidth="1"/>
  </cols>
  <sheetData>
    <row r="1" spans="1:17" ht="30" customHeight="1">
      <c r="A1" s="13" t="s">
        <v>552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</row>
    <row r="2" spans="1:17" ht="22" customHeight="1"/>
    <row r="3" spans="1:17" ht="12" customHeight="1"/>
    <row r="4" spans="1:17" ht="34" customHeight="1">
      <c r="A4" s="14" t="s">
        <v>109</v>
      </c>
      <c r="B4" s="14" t="s">
        <v>68</v>
      </c>
      <c r="C4" s="14" t="s">
        <v>553</v>
      </c>
      <c r="D4" s="14" t="s">
        <v>554</v>
      </c>
      <c r="E4" s="14" t="s">
        <v>9</v>
      </c>
      <c r="F4" s="14" t="s">
        <v>37</v>
      </c>
      <c r="G4" s="14" t="s">
        <v>129</v>
      </c>
      <c r="H4" s="14" t="s">
        <v>555</v>
      </c>
      <c r="I4" s="14" t="s">
        <v>556</v>
      </c>
      <c r="J4" s="14" t="s">
        <v>557</v>
      </c>
      <c r="K4" s="14" t="s">
        <v>558</v>
      </c>
      <c r="L4" s="14" t="s">
        <v>559</v>
      </c>
      <c r="M4" s="14" t="s">
        <v>560</v>
      </c>
      <c r="N4" s="14" t="s">
        <v>561</v>
      </c>
      <c r="O4" s="14" t="s">
        <v>562</v>
      </c>
      <c r="P4" s="14" t="s">
        <v>563</v>
      </c>
      <c r="Q4" s="14" t="s">
        <v>32</v>
      </c>
    </row>
  </sheetData>
  <sheetProtection password="B542" sheet="1" objects="1" scenarios="1" formatColumns="0" formatRows="0" autoFilter="0"/>
  <autoFilter ref="A4:Q5"/>
  <mergeCells count="1">
    <mergeCell ref="A1:Q1"/>
  </mergeCells>
  <dataValidations count="1">
    <dataValidation type="list" errorStyle="warning" allowBlank="1" showInputMessage="1" showErrorMessage="1" error="Valeur hors liste : vérifiez la saisie." sqref="C5:C3001">
      <formula1>L_EVENEMENTS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Budget"/>
  <dimension ref="A1:W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9.7109375" style="9" customWidth="1"/>
    <col min="2" max="2" width="7.7109375" style="9" customWidth="1"/>
    <col min="3" max="3" width="9.7109375" style="9" customWidth="1"/>
    <col min="4" max="4" width="26.7109375" style="9" customWidth="1"/>
    <col min="5" max="5" width="28.7109375" style="9" customWidth="1"/>
    <col min="6" max="6" width="9.7109375" style="9" customWidth="1"/>
    <col min="7" max="9" width="12.7109375" style="19" customWidth="1"/>
    <col min="10" max="21" width="9.7109375" style="19" customWidth="1"/>
    <col min="22" max="22" width="11.7109375" style="19" customWidth="1"/>
    <col min="23" max="23" width="20.7109375" style="9" customWidth="1"/>
  </cols>
  <sheetData>
    <row r="1" spans="1:23" ht="30" customHeight="1">
      <c r="A1" s="13" t="s">
        <v>564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</row>
    <row r="2" spans="1:23" ht="22" customHeight="1"/>
    <row r="3" spans="1:23" ht="12" customHeight="1"/>
    <row r="4" spans="1:23" ht="34" customHeight="1">
      <c r="A4" s="14" t="s">
        <v>149</v>
      </c>
      <c r="B4" s="14" t="s">
        <v>80</v>
      </c>
      <c r="C4" s="14" t="s">
        <v>342</v>
      </c>
      <c r="D4" s="14" t="s">
        <v>494</v>
      </c>
      <c r="E4" s="14" t="s">
        <v>495</v>
      </c>
      <c r="F4" s="14" t="s">
        <v>343</v>
      </c>
      <c r="G4" s="14" t="s">
        <v>565</v>
      </c>
      <c r="H4" s="14" t="s">
        <v>566</v>
      </c>
      <c r="I4" s="14" t="s">
        <v>567</v>
      </c>
      <c r="J4" s="14" t="s">
        <v>568</v>
      </c>
      <c r="K4" s="14" t="s">
        <v>569</v>
      </c>
      <c r="L4" s="14" t="s">
        <v>570</v>
      </c>
      <c r="M4" s="14" t="s">
        <v>571</v>
      </c>
      <c r="N4" s="14" t="s">
        <v>572</v>
      </c>
      <c r="O4" s="14" t="s">
        <v>573</v>
      </c>
      <c r="P4" s="14" t="s">
        <v>574</v>
      </c>
      <c r="Q4" s="14" t="s">
        <v>575</v>
      </c>
      <c r="R4" s="14" t="s">
        <v>576</v>
      </c>
      <c r="S4" s="14" t="s">
        <v>577</v>
      </c>
      <c r="T4" s="14" t="s">
        <v>578</v>
      </c>
      <c r="U4" s="14" t="s">
        <v>579</v>
      </c>
      <c r="V4" s="14" t="s">
        <v>580</v>
      </c>
      <c r="W4" s="14" t="s">
        <v>581</v>
      </c>
    </row>
  </sheetData>
  <sheetProtection password="B542" sheet="1" objects="1" scenarios="1" formatColumns="0" formatRows="0" autoFilter="0"/>
  <autoFilter ref="A4:W5"/>
  <mergeCells count="1">
    <mergeCell ref="A1:W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SuiviBudget">
    <pageSetUpPr fitToPage="1"/>
  </sheetPr>
  <dimension ref="A1:O8"/>
  <sheetViews>
    <sheetView showGridLines="0" workbookViewId="0">
      <pane xSplit="4" ySplit="8" topLeftCell="E9" activePane="bottomRight" state="frozen"/>
      <selection pane="topRight" activeCell="E1" sqref="E1"/>
      <selection pane="bottomLeft" activeCell="A9" sqref="A9"/>
      <selection pane="bottomRight"/>
    </sheetView>
  </sheetViews>
  <sheetFormatPr defaultRowHeight="15"/>
  <cols>
    <col min="1" max="1" width="8.7109375" style="9" customWidth="1"/>
    <col min="2" max="2" width="9.7109375" style="9" customWidth="1"/>
    <col min="3" max="3" width="26.7109375" style="9" customWidth="1"/>
    <col min="4" max="4" width="28.7109375" style="9" customWidth="1"/>
    <col min="5" max="8" width="12.7109375" style="19" customWidth="1"/>
    <col min="9" max="9" width="8.7109375" style="15" customWidth="1"/>
    <col min="10" max="10" width="10.7109375" style="15" customWidth="1"/>
    <col min="11" max="12" width="12.7109375" style="19" customWidth="1"/>
    <col min="13" max="13" width="9.7109375" style="15" customWidth="1"/>
    <col min="14" max="14" width="12.7109375" style="19" customWidth="1"/>
    <col min="15" max="15" width="10.7109375" style="15" customWidth="1"/>
  </cols>
  <sheetData>
    <row r="1" spans="1:15" ht="30" customHeight="1">
      <c r="A1" s="13" t="s">
        <v>582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ht="22" customHeight="1"/>
    <row r="3" spans="1:15" ht="12" customHeight="1"/>
    <row r="5" spans="1:15">
      <c r="B5" s="7" t="s">
        <v>594</v>
      </c>
      <c r="C5" s="17"/>
      <c r="D5" s="7" t="s">
        <v>595</v>
      </c>
      <c r="E5" s="17"/>
    </row>
    <row r="6" spans="1:15">
      <c r="B6" s="7" t="s">
        <v>596</v>
      </c>
    </row>
    <row r="7" spans="1:15">
      <c r="A7" s="5" t="s">
        <v>597</v>
      </c>
    </row>
    <row r="8" spans="1:15" ht="32" customHeight="1">
      <c r="A8" s="14" t="s">
        <v>80</v>
      </c>
      <c r="B8" s="14" t="s">
        <v>342</v>
      </c>
      <c r="C8" s="14" t="s">
        <v>494</v>
      </c>
      <c r="D8" s="14" t="s">
        <v>495</v>
      </c>
      <c r="E8" s="14" t="s">
        <v>583</v>
      </c>
      <c r="F8" s="14" t="s">
        <v>584</v>
      </c>
      <c r="G8" s="14" t="s">
        <v>585</v>
      </c>
      <c r="H8" s="14" t="s">
        <v>586</v>
      </c>
      <c r="I8" s="14" t="s">
        <v>587</v>
      </c>
      <c r="J8" s="14" t="s">
        <v>588</v>
      </c>
      <c r="K8" s="14" t="s">
        <v>589</v>
      </c>
      <c r="L8" s="14" t="s">
        <v>590</v>
      </c>
      <c r="M8" s="14" t="s">
        <v>591</v>
      </c>
      <c r="N8" s="14" t="s">
        <v>592</v>
      </c>
      <c r="O8" s="14" t="s">
        <v>593</v>
      </c>
    </row>
  </sheetData>
  <sheetProtection password="B542" sheet="1" objects="1" scenarios="1" formatColumns="0" formatRows="0" autoFilter="0"/>
  <mergeCells count="1">
    <mergeCell ref="A1:O1"/>
  </mergeCells>
  <pageMargins left="0.7" right="0.7" top="0.75" bottom="0.75" header="0.3" footer="0.3"/>
  <pageSetup paperSize="9" fitToHeight="0" orientation="landscape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Arrete"/>
  <dimension ref="A1:H21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4" width="14.7109375" customWidth="1"/>
    <col min="5" max="5" width="60.7109375" customWidth="1"/>
  </cols>
  <sheetData>
    <row r="1" spans="1:8" ht="30" customHeight="1">
      <c r="A1" s="13" t="s">
        <v>598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>
      <c r="B4" s="14" t="s">
        <v>599</v>
      </c>
      <c r="C4" s="14" t="s">
        <v>600</v>
      </c>
      <c r="D4" s="14" t="s">
        <v>513</v>
      </c>
    </row>
    <row r="5" spans="1:8">
      <c r="B5" s="9" t="s">
        <v>601</v>
      </c>
      <c r="C5" s="17"/>
      <c r="D5" s="19">
        <f>10000*N(C5)</f>
        <v>0</v>
      </c>
      <c r="E5" s="18" t="s">
        <v>617</v>
      </c>
    </row>
    <row r="6" spans="1:8">
      <c r="B6" s="9" t="s">
        <v>602</v>
      </c>
      <c r="C6" s="17"/>
      <c r="D6" s="19">
        <f>5000*N(C6)</f>
        <v>0</v>
      </c>
      <c r="E6" s="18" t="s">
        <v>618</v>
      </c>
    </row>
    <row r="7" spans="1:8">
      <c r="B7" s="9" t="s">
        <v>603</v>
      </c>
      <c r="C7" s="17"/>
      <c r="D7" s="19">
        <f>2000*N(C7)</f>
        <v>0</v>
      </c>
      <c r="E7" s="18" t="s">
        <v>619</v>
      </c>
    </row>
    <row r="8" spans="1:8">
      <c r="B8" s="9" t="s">
        <v>604</v>
      </c>
      <c r="C8" s="17"/>
      <c r="D8" s="19">
        <f>1000*N(C8)</f>
        <v>0</v>
      </c>
    </row>
    <row r="9" spans="1:8">
      <c r="B9" s="9" t="s">
        <v>605</v>
      </c>
      <c r="C9" s="17"/>
      <c r="D9" s="19">
        <f>500*N(C9)</f>
        <v>0</v>
      </c>
    </row>
    <row r="10" spans="1:8">
      <c r="B10" s="9" t="s">
        <v>606</v>
      </c>
      <c r="C10" s="17"/>
      <c r="D10" s="19">
        <f>500*N(C10)</f>
        <v>0</v>
      </c>
    </row>
    <row r="11" spans="1:8">
      <c r="B11" s="9" t="s">
        <v>607</v>
      </c>
      <c r="C11" s="17"/>
      <c r="D11" s="19">
        <f>100*N(C11)</f>
        <v>0</v>
      </c>
    </row>
    <row r="12" spans="1:8">
      <c r="B12" s="9" t="s">
        <v>608</v>
      </c>
      <c r="C12" s="17"/>
      <c r="D12" s="19">
        <f>50*N(C12)</f>
        <v>0</v>
      </c>
    </row>
    <row r="13" spans="1:8">
      <c r="B13" s="9" t="s">
        <v>609</v>
      </c>
      <c r="C13" s="17"/>
      <c r="D13" s="19">
        <f>25*N(C13)</f>
        <v>0</v>
      </c>
    </row>
    <row r="14" spans="1:8">
      <c r="B14" s="9" t="s">
        <v>610</v>
      </c>
      <c r="C14" s="17"/>
      <c r="D14" s="19">
        <f>10*N(C14)</f>
        <v>0</v>
      </c>
    </row>
    <row r="15" spans="1:8">
      <c r="B15" s="9" t="s">
        <v>611</v>
      </c>
      <c r="C15" s="17"/>
      <c r="D15" s="19">
        <f>5*N(C15)</f>
        <v>0</v>
      </c>
    </row>
    <row r="16" spans="1:8">
      <c r="B16" s="9" t="s">
        <v>612</v>
      </c>
      <c r="C16" s="17"/>
      <c r="D16" s="19">
        <f>2*N(C16)</f>
        <v>0</v>
      </c>
    </row>
    <row r="17" spans="2:4">
      <c r="B17" s="9" t="s">
        <v>613</v>
      </c>
      <c r="C17" s="17"/>
      <c r="D17" s="19">
        <f>1*N(C17)</f>
        <v>0</v>
      </c>
    </row>
    <row r="18" spans="2:4">
      <c r="B18" s="7" t="s">
        <v>614</v>
      </c>
      <c r="D18" s="19">
        <f>SUM(D5:D17)</f>
        <v>0</v>
      </c>
    </row>
    <row r="19" spans="2:4">
      <c r="B19" s="7" t="s">
        <v>615</v>
      </c>
      <c r="D19" s="19">
        <v>0</v>
      </c>
    </row>
    <row r="20" spans="2:4">
      <c r="B20" s="7" t="s">
        <v>616</v>
      </c>
      <c r="D20" s="19">
        <f>D18-D19</f>
        <v>0</v>
      </c>
    </row>
    <row r="21" spans="2:4">
      <c r="B21" s="7" t="s">
        <v>34</v>
      </c>
      <c r="C21" s="17"/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Arretes"/>
  <dimension ref="A1:H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6.7109375" style="20" customWidth="1"/>
    <col min="2" max="2" width="10.7109375" style="9" customWidth="1"/>
    <col min="3" max="4" width="14.7109375" style="19" customWidth="1"/>
    <col min="5" max="5" width="12.7109375" style="19" customWidth="1"/>
    <col min="6" max="6" width="13.7109375" style="9" customWidth="1"/>
    <col min="7" max="7" width="40.7109375" style="9" customWidth="1"/>
    <col min="8" max="8" width="22.7109375" style="9" customWidth="1"/>
  </cols>
  <sheetData>
    <row r="1" spans="1:8" ht="30" customHeight="1">
      <c r="A1" s="13" t="s">
        <v>620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68</v>
      </c>
      <c r="B4" s="14" t="s">
        <v>70</v>
      </c>
      <c r="C4" s="14" t="s">
        <v>621</v>
      </c>
      <c r="D4" s="14" t="s">
        <v>622</v>
      </c>
      <c r="E4" s="14" t="s">
        <v>623</v>
      </c>
      <c r="F4" s="14" t="s">
        <v>624</v>
      </c>
      <c r="G4" s="14" t="s">
        <v>34</v>
      </c>
      <c r="H4" s="14" t="s">
        <v>88</v>
      </c>
    </row>
  </sheetData>
  <sheetProtection password="B542" sheet="1" objects="1" scenarios="1" formatColumns="0" formatRows="0" autoFilter="0"/>
  <autoFilter ref="A4:H5"/>
  <mergeCells count="1">
    <mergeCell ref="A1:H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Pertes"/>
  <dimension ref="A1:K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11" customWidth="1"/>
    <col min="3" max="3" width="26.7109375" style="9" customWidth="1"/>
    <col min="4" max="4" width="11.7109375" style="9" customWidth="1"/>
    <col min="5" max="5" width="24.7109375" style="9" customWidth="1"/>
    <col min="6" max="6" width="34.7109375" style="9" customWidth="1"/>
    <col min="7" max="9" width="12.7109375" style="19" customWidth="1"/>
    <col min="10" max="10" width="26.7109375" style="9" customWidth="1"/>
    <col min="11" max="11" width="12.7109375" style="9" customWidth="1"/>
  </cols>
  <sheetData>
    <row r="1" spans="1:11" ht="30" customHeight="1">
      <c r="A1" s="13" t="s">
        <v>625</v>
      </c>
      <c r="B1" s="13"/>
      <c r="C1" s="13"/>
      <c r="D1" s="13"/>
      <c r="E1" s="13"/>
      <c r="F1" s="13"/>
      <c r="G1" s="13"/>
      <c r="H1" s="13"/>
      <c r="I1" s="13"/>
      <c r="J1" s="13"/>
      <c r="K1" s="13"/>
    </row>
    <row r="2" spans="1:11" ht="22" customHeight="1"/>
    <row r="3" spans="1:11" ht="12" customHeight="1"/>
    <row r="4" spans="1:11" ht="34" customHeight="1">
      <c r="A4" s="14" t="s">
        <v>109</v>
      </c>
      <c r="B4" s="14" t="s">
        <v>68</v>
      </c>
      <c r="C4" s="14" t="s">
        <v>70</v>
      </c>
      <c r="D4" s="14" t="s">
        <v>9</v>
      </c>
      <c r="E4" s="14" t="s">
        <v>626</v>
      </c>
      <c r="F4" s="14" t="s">
        <v>129</v>
      </c>
      <c r="G4" s="14" t="s">
        <v>513</v>
      </c>
      <c r="H4" s="14" t="s">
        <v>627</v>
      </c>
      <c r="I4" s="14" t="s">
        <v>628</v>
      </c>
      <c r="J4" s="14" t="s">
        <v>629</v>
      </c>
      <c r="K4" s="14" t="s">
        <v>32</v>
      </c>
    </row>
  </sheetData>
  <sheetProtection password="B542" sheet="1" objects="1" scenarios="1" formatColumns="0" formatRows="0" autoFilter="0"/>
  <autoFilter ref="A4:K5"/>
  <mergeCells count="1">
    <mergeCell ref="A1:K1"/>
  </mergeCells>
  <dataValidations count="1">
    <dataValidation type="list" errorStyle="warning" allowBlank="1" showInputMessage="1" showErrorMessage="1" error="Valeur hors liste : vérifiez la saisie." sqref="C5:C3001">
      <formula1>L_TYPES_PERTE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Recu">
    <pageSetUpPr fitToPage="1"/>
  </sheetPr>
  <dimension ref="A1:C19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60.7109375" customWidth="1"/>
  </cols>
  <sheetData>
    <row r="1" spans="1:3" ht="30" customHeight="1">
      <c r="A1" s="13"/>
      <c r="B1" s="13"/>
      <c r="C1" s="13"/>
    </row>
    <row r="3" spans="1:3">
      <c r="B3" s="24"/>
    </row>
    <row r="4" spans="1:3">
      <c r="B4" s="3"/>
    </row>
    <row r="6" spans="1:3" ht="24" customHeight="1">
      <c r="B6" s="25" t="s">
        <v>630</v>
      </c>
      <c r="C6" s="26"/>
    </row>
    <row r="7" spans="1:3" ht="24" customHeight="1">
      <c r="B7" s="25" t="s">
        <v>631</v>
      </c>
      <c r="C7" s="26"/>
    </row>
    <row r="8" spans="1:3" ht="24" customHeight="1">
      <c r="B8" s="25" t="s">
        <v>632</v>
      </c>
      <c r="C8" s="26"/>
    </row>
    <row r="9" spans="1:3" ht="24" customHeight="1">
      <c r="B9" s="25" t="s">
        <v>633</v>
      </c>
      <c r="C9" s="26"/>
    </row>
    <row r="10" spans="1:3" ht="24" customHeight="1">
      <c r="B10" s="25" t="s">
        <v>634</v>
      </c>
      <c r="C10" s="26"/>
    </row>
    <row r="11" spans="1:3" ht="24" customHeight="1">
      <c r="B11" s="25" t="s">
        <v>635</v>
      </c>
      <c r="C11" s="26"/>
    </row>
    <row r="12" spans="1:3" ht="24" customHeight="1">
      <c r="B12" s="25" t="s">
        <v>636</v>
      </c>
      <c r="C12" s="26"/>
    </row>
    <row r="13" spans="1:3" ht="24" customHeight="1">
      <c r="B13" s="25" t="s">
        <v>637</v>
      </c>
      <c r="C13" s="26"/>
    </row>
    <row r="16" spans="1:3">
      <c r="B16" s="25" t="s">
        <v>638</v>
      </c>
    </row>
    <row r="19" spans="2:2">
      <c r="B19" s="25" t="s">
        <v>639</v>
      </c>
    </row>
  </sheetData>
  <sheetProtection password="B542" sheet="1" objects="1" scenarios="1" formatColumns="0" formatRows="0" autoFilter="0"/>
  <mergeCells count="1">
    <mergeCell ref="A1:C1"/>
  </mergeCells>
  <pageMargins left="0.7" right="0.7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Clotures"/>
  <dimension ref="A1:I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0.7109375" style="9" customWidth="1"/>
    <col min="2" max="2" width="16.7109375" style="20" customWidth="1"/>
    <col min="3" max="8" width="14.7109375" style="19" customWidth="1"/>
    <col min="9" max="9" width="22.7109375" style="9" customWidth="1"/>
  </cols>
  <sheetData>
    <row r="1" spans="1:9" ht="30" customHeight="1">
      <c r="A1" s="13" t="s">
        <v>640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4" spans="1:9" ht="34" customHeight="1">
      <c r="A4" s="14" t="s">
        <v>149</v>
      </c>
      <c r="B4" s="14" t="s">
        <v>641</v>
      </c>
      <c r="C4" s="14" t="s">
        <v>642</v>
      </c>
      <c r="D4" s="14" t="s">
        <v>643</v>
      </c>
      <c r="E4" s="14" t="s">
        <v>644</v>
      </c>
      <c r="F4" s="14" t="s">
        <v>645</v>
      </c>
      <c r="G4" s="14" t="s">
        <v>646</v>
      </c>
      <c r="H4" s="14" t="s">
        <v>647</v>
      </c>
      <c r="I4" s="14" t="s">
        <v>648</v>
      </c>
    </row>
  </sheetData>
  <sheetProtection password="B542" sheet="1" objects="1" scenarios="1" formatColumns="0" formatRows="0" autoFilter="0"/>
  <mergeCells count="1">
    <mergeCell ref="A1:I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Rubriques"/>
  <dimension ref="A1:H20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9" customWidth="1"/>
    <col min="2" max="2" width="10.7109375" style="9" customWidth="1"/>
    <col min="3" max="3" width="32.7109375" style="9" customWidth="1"/>
    <col min="4" max="4" width="34.7109375" style="9" customWidth="1"/>
    <col min="5" max="5" width="10.7109375" style="9" customWidth="1"/>
    <col min="6" max="6" width="7.7109375" style="9" customWidth="1"/>
    <col min="7" max="7" width="44.7109375" style="9" customWidth="1"/>
  </cols>
  <sheetData>
    <row r="1" spans="1:8" ht="30" customHeight="1">
      <c r="A1" s="13" t="s">
        <v>649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80</v>
      </c>
      <c r="B4" s="14" t="s">
        <v>342</v>
      </c>
      <c r="C4" s="14" t="s">
        <v>494</v>
      </c>
      <c r="D4" s="14" t="s">
        <v>495</v>
      </c>
      <c r="E4" s="14" t="s">
        <v>343</v>
      </c>
      <c r="F4" s="14" t="s">
        <v>361</v>
      </c>
      <c r="G4" s="14" t="s">
        <v>650</v>
      </c>
    </row>
    <row r="5" spans="1:8">
      <c r="A5" s="9" t="s">
        <v>197</v>
      </c>
      <c r="B5" s="9" t="s">
        <v>339</v>
      </c>
      <c r="C5" s="9" t="s">
        <v>651</v>
      </c>
      <c r="D5" s="9" t="s">
        <v>652</v>
      </c>
      <c r="E5" s="9" t="s">
        <v>344</v>
      </c>
      <c r="F5" s="9" t="s">
        <v>224</v>
      </c>
      <c r="G5" s="9" t="str">
        <f>IF(A5="","",A5&amp;" - "&amp;D5)</f>
        <v>R01.1 - Cotisations mensuelles</v>
      </c>
    </row>
    <row r="6" spans="1:8">
      <c r="A6" s="9" t="s">
        <v>653</v>
      </c>
      <c r="B6" s="9" t="s">
        <v>339</v>
      </c>
      <c r="C6" s="9" t="s">
        <v>654</v>
      </c>
      <c r="D6" s="9" t="s">
        <v>655</v>
      </c>
      <c r="E6" s="9" t="s">
        <v>344</v>
      </c>
      <c r="F6" s="9" t="s">
        <v>224</v>
      </c>
      <c r="G6" s="9" t="str">
        <f>IF(A6="","",A6&amp;" - "&amp;D6)</f>
        <v>R02.1 - Collectes ordinaires</v>
      </c>
    </row>
    <row r="7" spans="1:8">
      <c r="A7" s="9" t="s">
        <v>656</v>
      </c>
      <c r="B7" s="9" t="s">
        <v>339</v>
      </c>
      <c r="C7" s="9" t="s">
        <v>654</v>
      </c>
      <c r="D7" s="9" t="s">
        <v>657</v>
      </c>
      <c r="E7" s="9" t="s">
        <v>344</v>
      </c>
      <c r="F7" s="9" t="s">
        <v>224</v>
      </c>
      <c r="G7" s="9" t="str">
        <f>IF(A7="","",A7&amp;" - "&amp;D7)</f>
        <v>R02.2 - Offrandes</v>
      </c>
    </row>
    <row r="8" spans="1:8">
      <c r="A8" s="9" t="s">
        <v>203</v>
      </c>
      <c r="B8" s="9" t="s">
        <v>339</v>
      </c>
      <c r="C8" s="9" t="s">
        <v>658</v>
      </c>
      <c r="D8" s="9" t="s">
        <v>659</v>
      </c>
      <c r="E8" s="9" t="s">
        <v>344</v>
      </c>
      <c r="F8" s="9" t="s">
        <v>224</v>
      </c>
      <c r="G8" s="9" t="str">
        <f>IF(A8="","",A8&amp;" - "&amp;D8)</f>
        <v>R03.1 - Campagnes de cotisation</v>
      </c>
    </row>
    <row r="9" spans="1:8">
      <c r="A9" s="9" t="s">
        <v>660</v>
      </c>
      <c r="B9" s="9" t="s">
        <v>339</v>
      </c>
      <c r="C9" s="9" t="s">
        <v>661</v>
      </c>
      <c r="D9" s="9" t="s">
        <v>662</v>
      </c>
      <c r="E9" s="9" t="s">
        <v>344</v>
      </c>
      <c r="F9" s="9" t="s">
        <v>224</v>
      </c>
      <c r="G9" s="9" t="str">
        <f>IF(A9="","",A9&amp;" - "&amp;D9)</f>
        <v>R04.1 - Dons</v>
      </c>
    </row>
    <row r="10" spans="1:8">
      <c r="A10" s="9" t="s">
        <v>663</v>
      </c>
      <c r="B10" s="9" t="s">
        <v>339</v>
      </c>
      <c r="C10" s="9" t="s">
        <v>661</v>
      </c>
      <c r="D10" s="9" t="s">
        <v>329</v>
      </c>
      <c r="E10" s="9" t="s">
        <v>344</v>
      </c>
      <c r="F10" s="9" t="s">
        <v>224</v>
      </c>
      <c r="G10" s="9" t="str">
        <f>IF(A10="","",A10&amp;" - "&amp;D10)</f>
        <v>R04.2 - Legs</v>
      </c>
    </row>
    <row r="11" spans="1:8">
      <c r="A11" s="9" t="s">
        <v>664</v>
      </c>
      <c r="B11" s="9" t="s">
        <v>339</v>
      </c>
      <c r="C11" s="9" t="s">
        <v>665</v>
      </c>
      <c r="D11" s="9" t="s">
        <v>666</v>
      </c>
      <c r="E11" s="9" t="s">
        <v>344</v>
      </c>
      <c r="F11" s="9" t="s">
        <v>224</v>
      </c>
      <c r="G11" s="9" t="str">
        <f>IF(A11="","",A11&amp;" - "&amp;D11)</f>
        <v>R05.1 - Location de matériel de musique</v>
      </c>
    </row>
    <row r="12" spans="1:8">
      <c r="A12" s="9" t="s">
        <v>200</v>
      </c>
      <c r="B12" s="9" t="s">
        <v>339</v>
      </c>
      <c r="C12" s="9" t="s">
        <v>667</v>
      </c>
      <c r="D12" s="9" t="s">
        <v>668</v>
      </c>
      <c r="E12" s="9" t="s">
        <v>344</v>
      </c>
      <c r="F12" s="9" t="s">
        <v>224</v>
      </c>
      <c r="G12" s="9" t="str">
        <f>IF(A12="","",A12&amp;" - "&amp;D12)</f>
        <v>R06.1 - Pénalités de retard</v>
      </c>
    </row>
    <row r="13" spans="1:8">
      <c r="A13" s="9" t="s">
        <v>669</v>
      </c>
      <c r="B13" s="9" t="s">
        <v>339</v>
      </c>
      <c r="C13" s="9" t="s">
        <v>667</v>
      </c>
      <c r="D13" s="9" t="s">
        <v>670</v>
      </c>
      <c r="E13" s="9" t="s">
        <v>344</v>
      </c>
      <c r="F13" s="9" t="s">
        <v>224</v>
      </c>
      <c r="G13" s="9" t="str">
        <f>IF(A13="","",A13&amp;" - "&amp;D13)</f>
        <v>R06.2 - Autres amendes</v>
      </c>
    </row>
    <row r="14" spans="1:8">
      <c r="A14" s="9" t="s">
        <v>671</v>
      </c>
      <c r="B14" s="9" t="s">
        <v>339</v>
      </c>
      <c r="C14" s="9" t="s">
        <v>672</v>
      </c>
      <c r="D14" s="9" t="s">
        <v>673</v>
      </c>
      <c r="E14" s="9" t="s">
        <v>344</v>
      </c>
      <c r="F14" s="9" t="s">
        <v>224</v>
      </c>
      <c r="G14" s="9" t="str">
        <f>IF(A14="","",A14&amp;" - "&amp;D14)</f>
        <v>R07.1 - Salu kia zola</v>
      </c>
    </row>
    <row r="15" spans="1:8">
      <c r="A15" s="9" t="s">
        <v>674</v>
      </c>
      <c r="B15" s="9" t="s">
        <v>339</v>
      </c>
      <c r="C15" s="9" t="s">
        <v>675</v>
      </c>
      <c r="D15" s="9" t="s">
        <v>675</v>
      </c>
      <c r="E15" s="9" t="s">
        <v>344</v>
      </c>
      <c r="F15" s="9" t="s">
        <v>224</v>
      </c>
      <c r="G15" s="9" t="str">
        <f>IF(A15="","",A15&amp;" - "&amp;D15)</f>
        <v>R08.1 - Subventions</v>
      </c>
    </row>
    <row r="16" spans="1:8">
      <c r="A16" s="9" t="s">
        <v>676</v>
      </c>
      <c r="B16" s="9" t="s">
        <v>339</v>
      </c>
      <c r="C16" s="9" t="s">
        <v>677</v>
      </c>
      <c r="D16" s="9" t="s">
        <v>678</v>
      </c>
      <c r="E16" s="9" t="s">
        <v>344</v>
      </c>
      <c r="F16" s="9" t="s">
        <v>224</v>
      </c>
      <c r="G16" s="9" t="str">
        <f>IF(A16="","",A16&amp;" - "&amp;D16)</f>
        <v>R09.1 - Recettes diverses</v>
      </c>
    </row>
    <row r="17" spans="1:7">
      <c r="A17" s="9" t="s">
        <v>215</v>
      </c>
      <c r="B17" s="9" t="s">
        <v>339</v>
      </c>
      <c r="C17" s="9" t="s">
        <v>677</v>
      </c>
      <c r="D17" s="9" t="s">
        <v>679</v>
      </c>
      <c r="E17" s="9" t="s">
        <v>344</v>
      </c>
      <c r="F17" s="9" t="s">
        <v>224</v>
      </c>
      <c r="G17" s="9" t="str">
        <f>IF(A17="","",A17&amp;" - "&amp;D17)</f>
        <v>R09.2 - Excédents de caisse</v>
      </c>
    </row>
    <row r="18" spans="1:7">
      <c r="A18" s="9" t="s">
        <v>218</v>
      </c>
      <c r="B18" s="9" t="s">
        <v>339</v>
      </c>
      <c r="C18" s="9" t="s">
        <v>677</v>
      </c>
      <c r="D18" s="9" t="s">
        <v>680</v>
      </c>
      <c r="E18" s="9" t="s">
        <v>344</v>
      </c>
      <c r="F18" s="9" t="s">
        <v>224</v>
      </c>
      <c r="G18" s="9" t="str">
        <f>IF(A18="","",A18&amp;" - "&amp;D18)</f>
        <v>R09.3 - Remboursements (art. 51)</v>
      </c>
    </row>
    <row r="19" spans="1:7">
      <c r="A19" s="9" t="s">
        <v>206</v>
      </c>
      <c r="B19" s="9" t="s">
        <v>339</v>
      </c>
      <c r="C19" s="9" t="s">
        <v>681</v>
      </c>
      <c r="D19" s="9" t="s">
        <v>682</v>
      </c>
      <c r="E19" s="9" t="s">
        <v>345</v>
      </c>
      <c r="F19" s="9" t="s">
        <v>224</v>
      </c>
      <c r="G19" s="9" t="str">
        <f>IF(A19="","",A19&amp;" - "&amp;D19)</f>
        <v>S01.1 - Contributions aux événements sociaux</v>
      </c>
    </row>
    <row r="20" spans="1:7">
      <c r="A20" s="9" t="s">
        <v>683</v>
      </c>
      <c r="B20" s="9" t="s">
        <v>339</v>
      </c>
      <c r="C20" s="9" t="s">
        <v>681</v>
      </c>
      <c r="D20" s="9" t="s">
        <v>684</v>
      </c>
      <c r="E20" s="9" t="s">
        <v>345</v>
      </c>
      <c r="F20" s="9" t="s">
        <v>224</v>
      </c>
      <c r="G20" s="9" t="str">
        <f>IF(A20="","",A20&amp;" - "&amp;D20)</f>
        <v>S01.2 - Quêtes et dons sociaux</v>
      </c>
    </row>
    <row r="21" spans="1:7">
      <c r="A21" s="9" t="s">
        <v>685</v>
      </c>
      <c r="B21" s="9" t="s">
        <v>340</v>
      </c>
      <c r="C21" s="9" t="s">
        <v>686</v>
      </c>
      <c r="D21" s="9" t="s">
        <v>687</v>
      </c>
      <c r="E21" s="9" t="s">
        <v>344</v>
      </c>
      <c r="F21" s="9" t="s">
        <v>224</v>
      </c>
      <c r="G21" s="9" t="str">
        <f>IF(A21="","",A21&amp;" - "&amp;D21)</f>
        <v>D01.1 - Sorties d'évangélisation</v>
      </c>
    </row>
    <row r="22" spans="1:7">
      <c r="A22" s="9" t="s">
        <v>688</v>
      </c>
      <c r="B22" s="9" t="s">
        <v>340</v>
      </c>
      <c r="C22" s="9" t="s">
        <v>686</v>
      </c>
      <c r="D22" s="9" t="s">
        <v>689</v>
      </c>
      <c r="E22" s="9" t="s">
        <v>344</v>
      </c>
      <c r="F22" s="9" t="s">
        <v>224</v>
      </c>
      <c r="G22" s="9" t="str">
        <f>IF(A22="","",A22&amp;" - "&amp;D22)</f>
        <v>D01.2 - Retraites spirituelles</v>
      </c>
    </row>
    <row r="23" spans="1:7">
      <c r="A23" s="9" t="s">
        <v>690</v>
      </c>
      <c r="B23" s="9" t="s">
        <v>340</v>
      </c>
      <c r="C23" s="9" t="s">
        <v>686</v>
      </c>
      <c r="D23" s="9" t="s">
        <v>691</v>
      </c>
      <c r="E23" s="9" t="s">
        <v>344</v>
      </c>
      <c r="F23" s="9" t="s">
        <v>224</v>
      </c>
      <c r="G23" s="9" t="str">
        <f>IF(A23="","",A23&amp;" - "&amp;D23)</f>
        <v>D01.3 - Études bibliques et formation</v>
      </c>
    </row>
    <row r="24" spans="1:7">
      <c r="A24" s="9" t="s">
        <v>692</v>
      </c>
      <c r="B24" s="9" t="s">
        <v>340</v>
      </c>
      <c r="C24" s="9" t="s">
        <v>693</v>
      </c>
      <c r="D24" s="9" t="s">
        <v>694</v>
      </c>
      <c r="E24" s="9" t="s">
        <v>344</v>
      </c>
      <c r="F24" s="9" t="s">
        <v>224</v>
      </c>
      <c r="G24" s="9" t="str">
        <f>IF(A24="","",A24&amp;" - "&amp;D24)</f>
        <v>D02.1 - Transport des sorties</v>
      </c>
    </row>
    <row r="25" spans="1:7">
      <c r="A25" s="9" t="s">
        <v>695</v>
      </c>
      <c r="B25" s="9" t="s">
        <v>340</v>
      </c>
      <c r="C25" s="9" t="s">
        <v>693</v>
      </c>
      <c r="D25" s="9" t="s">
        <v>696</v>
      </c>
      <c r="E25" s="9" t="s">
        <v>344</v>
      </c>
      <c r="F25" s="9" t="s">
        <v>224</v>
      </c>
      <c r="G25" s="9" t="str">
        <f>IF(A25="","",A25&amp;" - "&amp;D25)</f>
        <v>D02.2 - Transport des deuils</v>
      </c>
    </row>
    <row r="26" spans="1:7">
      <c r="A26" s="9" t="s">
        <v>697</v>
      </c>
      <c r="B26" s="9" t="s">
        <v>340</v>
      </c>
      <c r="C26" s="9" t="s">
        <v>698</v>
      </c>
      <c r="D26" s="9" t="s">
        <v>699</v>
      </c>
      <c r="E26" s="9" t="s">
        <v>344</v>
      </c>
      <c r="F26" s="9" t="s">
        <v>224</v>
      </c>
      <c r="G26" s="9" t="str">
        <f>IF(A26="","",A26&amp;" - "&amp;D26)</f>
        <v>D03.1 - Tenues officielles</v>
      </c>
    </row>
    <row r="27" spans="1:7">
      <c r="A27" s="9" t="s">
        <v>700</v>
      </c>
      <c r="B27" s="9" t="s">
        <v>340</v>
      </c>
      <c r="C27" s="9" t="s">
        <v>701</v>
      </c>
      <c r="D27" s="9" t="s">
        <v>702</v>
      </c>
      <c r="E27" s="9" t="s">
        <v>344</v>
      </c>
      <c r="F27" s="9" t="s">
        <v>224</v>
      </c>
      <c r="G27" s="9" t="str">
        <f>IF(A27="","",A27&amp;" - "&amp;D27)</f>
        <v>D04.1 - Instruments de musique</v>
      </c>
    </row>
    <row r="28" spans="1:7">
      <c r="A28" s="9" t="s">
        <v>703</v>
      </c>
      <c r="B28" s="9" t="s">
        <v>340</v>
      </c>
      <c r="C28" s="9" t="s">
        <v>701</v>
      </c>
      <c r="D28" s="9" t="s">
        <v>704</v>
      </c>
      <c r="E28" s="9" t="s">
        <v>344</v>
      </c>
      <c r="F28" s="9" t="s">
        <v>224</v>
      </c>
      <c r="G28" s="9" t="str">
        <f>IF(A28="","",A28&amp;" - "&amp;D28)</f>
        <v>D04.2 - Sonorisation</v>
      </c>
    </row>
    <row r="29" spans="1:7">
      <c r="A29" s="9" t="s">
        <v>705</v>
      </c>
      <c r="B29" s="9" t="s">
        <v>340</v>
      </c>
      <c r="C29" s="9" t="s">
        <v>701</v>
      </c>
      <c r="D29" s="9" t="s">
        <v>706</v>
      </c>
      <c r="E29" s="9" t="s">
        <v>344</v>
      </c>
      <c r="F29" s="9" t="s">
        <v>224</v>
      </c>
      <c r="G29" s="9" t="str">
        <f>IF(A29="","",A29&amp;" - "&amp;D29)</f>
        <v>D04.3 - Mobilier et divers</v>
      </c>
    </row>
    <row r="30" spans="1:7">
      <c r="A30" s="9" t="s">
        <v>707</v>
      </c>
      <c r="B30" s="9" t="s">
        <v>340</v>
      </c>
      <c r="C30" s="9" t="s">
        <v>708</v>
      </c>
      <c r="D30" s="9" t="s">
        <v>708</v>
      </c>
      <c r="E30" s="9" t="s">
        <v>344</v>
      </c>
      <c r="F30" s="9" t="s">
        <v>224</v>
      </c>
      <c r="G30" s="9" t="str">
        <f>IF(A30="","",A30&amp;" - "&amp;D30)</f>
        <v>D05.1 - Entretien et réparations</v>
      </c>
    </row>
    <row r="31" spans="1:7">
      <c r="A31" s="9" t="s">
        <v>709</v>
      </c>
      <c r="B31" s="9" t="s">
        <v>340</v>
      </c>
      <c r="C31" s="9" t="s">
        <v>710</v>
      </c>
      <c r="D31" s="9" t="s">
        <v>711</v>
      </c>
      <c r="E31" s="9" t="s">
        <v>344</v>
      </c>
      <c r="F31" s="9" t="s">
        <v>224</v>
      </c>
      <c r="G31" s="9" t="str">
        <f>IF(A31="","",A31&amp;" - "&amp;D31)</f>
        <v>D06.1 - Aides exceptionnelles</v>
      </c>
    </row>
    <row r="32" spans="1:7">
      <c r="A32" s="9" t="s">
        <v>712</v>
      </c>
      <c r="B32" s="9" t="s">
        <v>340</v>
      </c>
      <c r="C32" s="9" t="s">
        <v>713</v>
      </c>
      <c r="D32" s="9" t="s">
        <v>713</v>
      </c>
      <c r="E32" s="9" t="s">
        <v>344</v>
      </c>
      <c r="F32" s="9" t="s">
        <v>224</v>
      </c>
      <c r="G32" s="9" t="str">
        <f>IF(A32="","",A32&amp;" - "&amp;D32)</f>
        <v>D07.1 - Cuisine et réceptions</v>
      </c>
    </row>
    <row r="33" spans="1:7">
      <c r="A33" s="9" t="s">
        <v>714</v>
      </c>
      <c r="B33" s="9" t="s">
        <v>340</v>
      </c>
      <c r="C33" s="9" t="s">
        <v>715</v>
      </c>
      <c r="D33" s="9" t="s">
        <v>716</v>
      </c>
      <c r="E33" s="9" t="s">
        <v>344</v>
      </c>
      <c r="F33" s="9" t="s">
        <v>224</v>
      </c>
      <c r="G33" s="9" t="str">
        <f>IF(A33="","",A33&amp;" - "&amp;D33)</f>
        <v>D08.1 - Fournitures</v>
      </c>
    </row>
    <row r="34" spans="1:7">
      <c r="A34" s="9" t="s">
        <v>717</v>
      </c>
      <c r="B34" s="9" t="s">
        <v>340</v>
      </c>
      <c r="C34" s="9" t="s">
        <v>715</v>
      </c>
      <c r="D34" s="9" t="s">
        <v>718</v>
      </c>
      <c r="E34" s="9" t="s">
        <v>344</v>
      </c>
      <c r="F34" s="9" t="s">
        <v>224</v>
      </c>
      <c r="G34" s="9" t="str">
        <f>IF(A34="","",A34&amp;" - "&amp;D34)</f>
        <v>D08.2 - Impressions</v>
      </c>
    </row>
    <row r="35" spans="1:7">
      <c r="A35" s="9" t="s">
        <v>719</v>
      </c>
      <c r="B35" s="9" t="s">
        <v>340</v>
      </c>
      <c r="C35" s="9" t="s">
        <v>715</v>
      </c>
      <c r="D35" s="9" t="s">
        <v>720</v>
      </c>
      <c r="E35" s="9" t="s">
        <v>344</v>
      </c>
      <c r="F35" s="9" t="s">
        <v>224</v>
      </c>
      <c r="G35" s="9" t="str">
        <f>IF(A35="","",A35&amp;" - "&amp;D35)</f>
        <v>D08.3 - Communication (crédit, internet)</v>
      </c>
    </row>
    <row r="36" spans="1:7">
      <c r="A36" s="9" t="s">
        <v>721</v>
      </c>
      <c r="B36" s="9" t="s">
        <v>340</v>
      </c>
      <c r="C36" s="9" t="s">
        <v>722</v>
      </c>
      <c r="D36" s="9" t="s">
        <v>722</v>
      </c>
      <c r="E36" s="9" t="s">
        <v>344</v>
      </c>
      <c r="F36" s="9" t="s">
        <v>224</v>
      </c>
      <c r="G36" s="9" t="str">
        <f>IF(A36="","",A36&amp;" - "&amp;D36)</f>
        <v>D09.1 - Frais bancaires</v>
      </c>
    </row>
    <row r="37" spans="1:7">
      <c r="A37" s="9" t="s">
        <v>723</v>
      </c>
      <c r="B37" s="9" t="s">
        <v>340</v>
      </c>
      <c r="C37" s="9" t="s">
        <v>724</v>
      </c>
      <c r="D37" s="9" t="s">
        <v>725</v>
      </c>
      <c r="E37" s="9" t="s">
        <v>344</v>
      </c>
      <c r="F37" s="9" t="s">
        <v>224</v>
      </c>
      <c r="G37" s="9" t="str">
        <f>IF(A37="","",A37&amp;" - "&amp;D37)</f>
        <v>D10.1 - Imprévus</v>
      </c>
    </row>
    <row r="38" spans="1:7">
      <c r="A38" s="9" t="s">
        <v>212</v>
      </c>
      <c r="B38" s="9" t="s">
        <v>340</v>
      </c>
      <c r="C38" s="9" t="s">
        <v>724</v>
      </c>
      <c r="D38" s="9" t="s">
        <v>726</v>
      </c>
      <c r="E38" s="9" t="s">
        <v>344</v>
      </c>
      <c r="F38" s="9" t="s">
        <v>224</v>
      </c>
      <c r="G38" s="9" t="str">
        <f>IF(A38="","",A38&amp;" - "&amp;D38)</f>
        <v>D10.2 - Manquants de caisse</v>
      </c>
    </row>
    <row r="39" spans="1:7">
      <c r="A39" s="9" t="s">
        <v>209</v>
      </c>
      <c r="B39" s="9" t="s">
        <v>340</v>
      </c>
      <c r="C39" s="9" t="s">
        <v>727</v>
      </c>
      <c r="D39" s="9" t="s">
        <v>728</v>
      </c>
      <c r="E39" s="9" t="s">
        <v>345</v>
      </c>
      <c r="F39" s="9" t="s">
        <v>224</v>
      </c>
      <c r="G39" s="9" t="str">
        <f>IF(A39="","",A39&amp;" - "&amp;D39)</f>
        <v>T01.1 - Aides versées (barème)</v>
      </c>
    </row>
    <row r="40" spans="1:7">
      <c r="A40" s="9" t="s">
        <v>729</v>
      </c>
      <c r="B40" s="9" t="s">
        <v>340</v>
      </c>
      <c r="C40" s="9" t="s">
        <v>727</v>
      </c>
      <c r="D40" s="9" t="s">
        <v>730</v>
      </c>
      <c r="E40" s="9" t="s">
        <v>345</v>
      </c>
      <c r="F40" s="9" t="s">
        <v>224</v>
      </c>
      <c r="G40" s="9" t="str">
        <f>IF(A40="","",A40&amp;" - "&amp;D40)</f>
        <v>T01.2 - Gerbes, habillement, cadeaux</v>
      </c>
    </row>
    <row r="41" spans="1:7">
      <c r="A41" s="9" t="s">
        <v>731</v>
      </c>
      <c r="B41" s="9" t="s">
        <v>340</v>
      </c>
      <c r="C41" s="9" t="s">
        <v>727</v>
      </c>
      <c r="D41" s="9" t="s">
        <v>732</v>
      </c>
      <c r="E41" s="9" t="s">
        <v>345</v>
      </c>
      <c r="F41" s="9" t="s">
        <v>224</v>
      </c>
      <c r="G41" s="9" t="str">
        <f>IF(A41="","",A41&amp;" - "&amp;D41)</f>
        <v>T01.3 - Transport des deuils de choristes</v>
      </c>
    </row>
    <row r="42" spans="1:7">
      <c r="A42" s="9" t="s">
        <v>733</v>
      </c>
      <c r="B42" s="9" t="s">
        <v>340</v>
      </c>
      <c r="C42" s="9" t="s">
        <v>727</v>
      </c>
      <c r="D42" s="9" t="s">
        <v>734</v>
      </c>
      <c r="E42" s="9" t="s">
        <v>345</v>
      </c>
      <c r="F42" s="9" t="s">
        <v>224</v>
      </c>
      <c r="G42" s="9" t="str">
        <f>IF(A42="","",A42&amp;" - "&amp;D42)</f>
        <v>T01.4 - Pension des orphelins</v>
      </c>
    </row>
    <row r="43" spans="1:7">
      <c r="G43" s="9">
        <f>IF(A43="","",A43&amp;" - "&amp;D43)</f>
        <v/>
      </c>
    </row>
    <row r="44" spans="1:7">
      <c r="G44" s="9">
        <f>IF(A44="","",A44&amp;" - "&amp;D44)</f>
        <v/>
      </c>
    </row>
    <row r="45" spans="1:7">
      <c r="G45" s="9">
        <f>IF(A45="","",A45&amp;" - "&amp;D45)</f>
        <v/>
      </c>
    </row>
    <row r="46" spans="1:7">
      <c r="G46" s="9">
        <f>IF(A46="","",A46&amp;" - "&amp;D46)</f>
        <v/>
      </c>
    </row>
    <row r="47" spans="1:7">
      <c r="G47" s="9">
        <f>IF(A47="","",A47&amp;" - "&amp;D47)</f>
        <v/>
      </c>
    </row>
    <row r="48" spans="1:7">
      <c r="G48" s="9">
        <f>IF(A48="","",A48&amp;" - "&amp;D48)</f>
        <v/>
      </c>
    </row>
    <row r="49" spans="7:7">
      <c r="G49" s="9">
        <f>IF(A49="","",A49&amp;" - "&amp;D49)</f>
        <v/>
      </c>
    </row>
    <row r="50" spans="7:7">
      <c r="G50" s="9">
        <f>IF(A50="","",A50&amp;" - "&amp;D50)</f>
        <v/>
      </c>
    </row>
    <row r="51" spans="7:7">
      <c r="G51" s="9">
        <f>IF(A51="","",A51&amp;" - "&amp;D51)</f>
        <v/>
      </c>
    </row>
    <row r="52" spans="7:7">
      <c r="G52" s="9">
        <f>IF(A52="","",A52&amp;" - "&amp;D52)</f>
        <v/>
      </c>
    </row>
    <row r="53" spans="7:7">
      <c r="G53" s="9">
        <f>IF(A53="","",A53&amp;" - "&amp;D53)</f>
        <v/>
      </c>
    </row>
    <row r="54" spans="7:7">
      <c r="G54" s="9">
        <f>IF(A54="","",A54&amp;" - "&amp;D54)</f>
        <v/>
      </c>
    </row>
    <row r="55" spans="7:7">
      <c r="G55" s="9">
        <f>IF(A55="","",A55&amp;" - "&amp;D55)</f>
        <v/>
      </c>
    </row>
    <row r="56" spans="7:7">
      <c r="G56" s="9">
        <f>IF(A56="","",A56&amp;" - "&amp;D56)</f>
        <v/>
      </c>
    </row>
    <row r="57" spans="7:7">
      <c r="G57" s="9">
        <f>IF(A57="","",A57&amp;" - "&amp;D57)</f>
        <v/>
      </c>
    </row>
    <row r="58" spans="7:7">
      <c r="G58" s="9">
        <f>IF(A58="","",A58&amp;" - "&amp;D58)</f>
        <v/>
      </c>
    </row>
    <row r="59" spans="7:7">
      <c r="G59" s="9">
        <f>IF(A59="","",A59&amp;" - "&amp;D59)</f>
        <v/>
      </c>
    </row>
    <row r="60" spans="7:7">
      <c r="G60" s="9">
        <f>IF(A60="","",A60&amp;" - "&amp;D60)</f>
        <v/>
      </c>
    </row>
    <row r="61" spans="7:7">
      <c r="G61" s="9">
        <f>IF(A61="","",A61&amp;" - "&amp;D61)</f>
        <v/>
      </c>
    </row>
    <row r="62" spans="7:7">
      <c r="G62" s="9">
        <f>IF(A62="","",A62&amp;" - "&amp;D62)</f>
        <v/>
      </c>
    </row>
    <row r="63" spans="7:7">
      <c r="G63" s="9">
        <f>IF(A63="","",A63&amp;" - "&amp;D63)</f>
        <v/>
      </c>
    </row>
    <row r="64" spans="7:7">
      <c r="G64" s="9">
        <f>IF(A64="","",A64&amp;" - "&amp;D64)</f>
        <v/>
      </c>
    </row>
    <row r="65" spans="7:7">
      <c r="G65" s="9">
        <f>IF(A65="","",A65&amp;" - "&amp;D65)</f>
        <v/>
      </c>
    </row>
    <row r="66" spans="7:7">
      <c r="G66" s="9">
        <f>IF(A66="","",A66&amp;" - "&amp;D66)</f>
        <v/>
      </c>
    </row>
    <row r="67" spans="7:7">
      <c r="G67" s="9">
        <f>IF(A67="","",A67&amp;" - "&amp;D67)</f>
        <v/>
      </c>
    </row>
    <row r="68" spans="7:7">
      <c r="G68" s="9">
        <f>IF(A68="","",A68&amp;" - "&amp;D68)</f>
        <v/>
      </c>
    </row>
    <row r="69" spans="7:7">
      <c r="G69" s="9">
        <f>IF(A69="","",A69&amp;" - "&amp;D69)</f>
        <v/>
      </c>
    </row>
    <row r="70" spans="7:7">
      <c r="G70" s="9">
        <f>IF(A70="","",A70&amp;" - "&amp;D70)</f>
        <v/>
      </c>
    </row>
    <row r="71" spans="7:7">
      <c r="G71" s="9">
        <f>IF(A71="","",A71&amp;" - "&amp;D71)</f>
        <v/>
      </c>
    </row>
    <row r="72" spans="7:7">
      <c r="G72" s="9">
        <f>IF(A72="","",A72&amp;" - "&amp;D72)</f>
        <v/>
      </c>
    </row>
    <row r="73" spans="7:7">
      <c r="G73" s="9">
        <f>IF(A73="","",A73&amp;" - "&amp;D73)</f>
        <v/>
      </c>
    </row>
    <row r="74" spans="7:7">
      <c r="G74" s="9">
        <f>IF(A74="","",A74&amp;" - "&amp;D74)</f>
        <v/>
      </c>
    </row>
    <row r="75" spans="7:7">
      <c r="G75" s="9">
        <f>IF(A75="","",A75&amp;" - "&amp;D75)</f>
        <v/>
      </c>
    </row>
    <row r="76" spans="7:7">
      <c r="G76" s="9">
        <f>IF(A76="","",A76&amp;" - "&amp;D76)</f>
        <v/>
      </c>
    </row>
    <row r="77" spans="7:7">
      <c r="G77" s="9">
        <f>IF(A77="","",A77&amp;" - "&amp;D77)</f>
        <v/>
      </c>
    </row>
    <row r="78" spans="7:7">
      <c r="G78" s="9">
        <f>IF(A78="","",A78&amp;" - "&amp;D78)</f>
        <v/>
      </c>
    </row>
    <row r="79" spans="7:7">
      <c r="G79" s="9">
        <f>IF(A79="","",A79&amp;" - "&amp;D79)</f>
        <v/>
      </c>
    </row>
    <row r="80" spans="7:7">
      <c r="G80" s="9">
        <f>IF(A80="","",A80&amp;" - "&amp;D80)</f>
        <v/>
      </c>
    </row>
    <row r="81" spans="7:7">
      <c r="G81" s="9">
        <f>IF(A81="","",A81&amp;" - "&amp;D81)</f>
        <v/>
      </c>
    </row>
    <row r="82" spans="7:7">
      <c r="G82" s="9">
        <f>IF(A82="","",A82&amp;" - "&amp;D82)</f>
        <v/>
      </c>
    </row>
    <row r="83" spans="7:7">
      <c r="G83" s="9">
        <f>IF(A83="","",A83&amp;" - "&amp;D83)</f>
        <v/>
      </c>
    </row>
    <row r="84" spans="7:7">
      <c r="G84" s="9">
        <f>IF(A84="","",A84&amp;" - "&amp;D84)</f>
        <v/>
      </c>
    </row>
    <row r="85" spans="7:7">
      <c r="G85" s="9">
        <f>IF(A85="","",A85&amp;" - "&amp;D85)</f>
        <v/>
      </c>
    </row>
    <row r="86" spans="7:7">
      <c r="G86" s="9">
        <f>IF(A86="","",A86&amp;" - "&amp;D86)</f>
        <v/>
      </c>
    </row>
    <row r="87" spans="7:7">
      <c r="G87" s="9">
        <f>IF(A87="","",A87&amp;" - "&amp;D87)</f>
        <v/>
      </c>
    </row>
    <row r="88" spans="7:7">
      <c r="G88" s="9">
        <f>IF(A88="","",A88&amp;" - "&amp;D88)</f>
        <v/>
      </c>
    </row>
    <row r="89" spans="7:7">
      <c r="G89" s="9">
        <f>IF(A89="","",A89&amp;" - "&amp;D89)</f>
        <v/>
      </c>
    </row>
    <row r="90" spans="7:7">
      <c r="G90" s="9">
        <f>IF(A90="","",A90&amp;" - "&amp;D90)</f>
        <v/>
      </c>
    </row>
    <row r="91" spans="7:7">
      <c r="G91" s="9">
        <f>IF(A91="","",A91&amp;" - "&amp;D91)</f>
        <v/>
      </c>
    </row>
    <row r="92" spans="7:7">
      <c r="G92" s="9">
        <f>IF(A92="","",A92&amp;" - "&amp;D92)</f>
        <v/>
      </c>
    </row>
    <row r="93" spans="7:7">
      <c r="G93" s="9">
        <f>IF(A93="","",A93&amp;" - "&amp;D93)</f>
        <v/>
      </c>
    </row>
    <row r="94" spans="7:7">
      <c r="G94" s="9">
        <f>IF(A94="","",A94&amp;" - "&amp;D94)</f>
        <v/>
      </c>
    </row>
    <row r="95" spans="7:7">
      <c r="G95" s="9">
        <f>IF(A95="","",A95&amp;" - "&amp;D95)</f>
        <v/>
      </c>
    </row>
    <row r="96" spans="7:7">
      <c r="G96" s="9">
        <f>IF(A96="","",A96&amp;" - "&amp;D96)</f>
        <v/>
      </c>
    </row>
    <row r="97" spans="7:7">
      <c r="G97" s="9">
        <f>IF(A97="","",A97&amp;" - "&amp;D97)</f>
        <v/>
      </c>
    </row>
    <row r="98" spans="7:7">
      <c r="G98" s="9">
        <f>IF(A98="","",A98&amp;" - "&amp;D98)</f>
        <v/>
      </c>
    </row>
    <row r="99" spans="7:7">
      <c r="G99" s="9">
        <f>IF(A99="","",A99&amp;" - "&amp;D99)</f>
        <v/>
      </c>
    </row>
    <row r="100" spans="7:7">
      <c r="G100" s="9">
        <f>IF(A100="","",A100&amp;" - "&amp;D100)</f>
        <v/>
      </c>
    </row>
    <row r="101" spans="7:7">
      <c r="G101" s="9">
        <f>IF(A101="","",A101&amp;" - "&amp;D101)</f>
        <v/>
      </c>
    </row>
    <row r="102" spans="7:7">
      <c r="G102" s="9">
        <f>IF(A102="","",A102&amp;" - "&amp;D102)</f>
        <v/>
      </c>
    </row>
    <row r="103" spans="7:7">
      <c r="G103" s="9">
        <f>IF(A103="","",A103&amp;" - "&amp;D103)</f>
        <v/>
      </c>
    </row>
    <row r="104" spans="7:7">
      <c r="G104" s="9">
        <f>IF(A104="","",A104&amp;" - "&amp;D104)</f>
        <v/>
      </c>
    </row>
    <row r="105" spans="7:7">
      <c r="G105" s="9">
        <f>IF(A105="","",A105&amp;" - "&amp;D105)</f>
        <v/>
      </c>
    </row>
    <row r="106" spans="7:7">
      <c r="G106" s="9">
        <f>IF(A106="","",A106&amp;" - "&amp;D106)</f>
        <v/>
      </c>
    </row>
    <row r="107" spans="7:7">
      <c r="G107" s="9">
        <f>IF(A107="","",A107&amp;" - "&amp;D107)</f>
        <v/>
      </c>
    </row>
    <row r="108" spans="7:7">
      <c r="G108" s="9">
        <f>IF(A108="","",A108&amp;" - "&amp;D108)</f>
        <v/>
      </c>
    </row>
    <row r="109" spans="7:7">
      <c r="G109" s="9">
        <f>IF(A109="","",A109&amp;" - "&amp;D109)</f>
        <v/>
      </c>
    </row>
    <row r="110" spans="7:7">
      <c r="G110" s="9">
        <f>IF(A110="","",A110&amp;" - "&amp;D110)</f>
        <v/>
      </c>
    </row>
    <row r="111" spans="7:7">
      <c r="G111" s="9">
        <f>IF(A111="","",A111&amp;" - "&amp;D111)</f>
        <v/>
      </c>
    </row>
    <row r="112" spans="7:7">
      <c r="G112" s="9">
        <f>IF(A112="","",A112&amp;" - "&amp;D112)</f>
        <v/>
      </c>
    </row>
    <row r="113" spans="7:7">
      <c r="G113" s="9">
        <f>IF(A113="","",A113&amp;" - "&amp;D113)</f>
        <v/>
      </c>
    </row>
    <row r="114" spans="7:7">
      <c r="G114" s="9">
        <f>IF(A114="","",A114&amp;" - "&amp;D114)</f>
        <v/>
      </c>
    </row>
    <row r="115" spans="7:7">
      <c r="G115" s="9">
        <f>IF(A115="","",A115&amp;" - "&amp;D115)</f>
        <v/>
      </c>
    </row>
    <row r="116" spans="7:7">
      <c r="G116" s="9">
        <f>IF(A116="","",A116&amp;" - "&amp;D116)</f>
        <v/>
      </c>
    </row>
    <row r="117" spans="7:7">
      <c r="G117" s="9">
        <f>IF(A117="","",A117&amp;" - "&amp;D117)</f>
        <v/>
      </c>
    </row>
    <row r="118" spans="7:7">
      <c r="G118" s="9">
        <f>IF(A118="","",A118&amp;" - "&amp;D118)</f>
        <v/>
      </c>
    </row>
    <row r="119" spans="7:7">
      <c r="G119" s="9">
        <f>IF(A119="","",A119&amp;" - "&amp;D119)</f>
        <v/>
      </c>
    </row>
    <row r="120" spans="7:7">
      <c r="G120" s="9">
        <f>IF(A120="","",A120&amp;" - "&amp;D120)</f>
        <v/>
      </c>
    </row>
    <row r="121" spans="7:7">
      <c r="G121" s="9">
        <f>IF(A121="","",A121&amp;" - "&amp;D121)</f>
        <v/>
      </c>
    </row>
    <row r="122" spans="7:7">
      <c r="G122" s="9">
        <f>IF(A122="","",A122&amp;" - "&amp;D122)</f>
        <v/>
      </c>
    </row>
    <row r="123" spans="7:7">
      <c r="G123" s="9">
        <f>IF(A123="","",A123&amp;" - "&amp;D123)</f>
        <v/>
      </c>
    </row>
    <row r="124" spans="7:7">
      <c r="G124" s="9">
        <f>IF(A124="","",A124&amp;" - "&amp;D124)</f>
        <v/>
      </c>
    </row>
    <row r="125" spans="7:7">
      <c r="G125" s="9">
        <f>IF(A125="","",A125&amp;" - "&amp;D125)</f>
        <v/>
      </c>
    </row>
    <row r="126" spans="7:7">
      <c r="G126" s="9">
        <f>IF(A126="","",A126&amp;" - "&amp;D126)</f>
        <v/>
      </c>
    </row>
    <row r="127" spans="7:7">
      <c r="G127" s="9">
        <f>IF(A127="","",A127&amp;" - "&amp;D127)</f>
        <v/>
      </c>
    </row>
    <row r="128" spans="7:7">
      <c r="G128" s="9">
        <f>IF(A128="","",A128&amp;" - "&amp;D128)</f>
        <v/>
      </c>
    </row>
    <row r="129" spans="7:7">
      <c r="G129" s="9">
        <f>IF(A129="","",A129&amp;" - "&amp;D129)</f>
        <v/>
      </c>
    </row>
    <row r="130" spans="7:7">
      <c r="G130" s="9">
        <f>IF(A130="","",A130&amp;" - "&amp;D130)</f>
        <v/>
      </c>
    </row>
    <row r="131" spans="7:7">
      <c r="G131" s="9">
        <f>IF(A131="","",A131&amp;" - "&amp;D131)</f>
        <v/>
      </c>
    </row>
    <row r="132" spans="7:7">
      <c r="G132" s="9">
        <f>IF(A132="","",A132&amp;" - "&amp;D132)</f>
        <v/>
      </c>
    </row>
    <row r="133" spans="7:7">
      <c r="G133" s="9">
        <f>IF(A133="","",A133&amp;" - "&amp;D133)</f>
        <v/>
      </c>
    </row>
    <row r="134" spans="7:7">
      <c r="G134" s="9">
        <f>IF(A134="","",A134&amp;" - "&amp;D134)</f>
        <v/>
      </c>
    </row>
    <row r="135" spans="7:7">
      <c r="G135" s="9">
        <f>IF(A135="","",A135&amp;" - "&amp;D135)</f>
        <v/>
      </c>
    </row>
    <row r="136" spans="7:7">
      <c r="G136" s="9">
        <f>IF(A136="","",A136&amp;" - "&amp;D136)</f>
        <v/>
      </c>
    </row>
    <row r="137" spans="7:7">
      <c r="G137" s="9">
        <f>IF(A137="","",A137&amp;" - "&amp;D137)</f>
        <v/>
      </c>
    </row>
    <row r="138" spans="7:7">
      <c r="G138" s="9">
        <f>IF(A138="","",A138&amp;" - "&amp;D138)</f>
        <v/>
      </c>
    </row>
    <row r="139" spans="7:7">
      <c r="G139" s="9">
        <f>IF(A139="","",A139&amp;" - "&amp;D139)</f>
        <v/>
      </c>
    </row>
    <row r="140" spans="7:7">
      <c r="G140" s="9">
        <f>IF(A140="","",A140&amp;" - "&amp;D140)</f>
        <v/>
      </c>
    </row>
    <row r="141" spans="7:7">
      <c r="G141" s="9">
        <f>IF(A141="","",A141&amp;" - "&amp;D141)</f>
        <v/>
      </c>
    </row>
    <row r="142" spans="7:7">
      <c r="G142" s="9">
        <f>IF(A142="","",A142&amp;" - "&amp;D142)</f>
        <v/>
      </c>
    </row>
    <row r="143" spans="7:7">
      <c r="G143" s="9">
        <f>IF(A143="","",A143&amp;" - "&amp;D143)</f>
        <v/>
      </c>
    </row>
    <row r="144" spans="7:7">
      <c r="G144" s="9">
        <f>IF(A144="","",A144&amp;" - "&amp;D144)</f>
        <v/>
      </c>
    </row>
    <row r="145" spans="7:7">
      <c r="G145" s="9">
        <f>IF(A145="","",A145&amp;" - "&amp;D145)</f>
        <v/>
      </c>
    </row>
    <row r="146" spans="7:7">
      <c r="G146" s="9">
        <f>IF(A146="","",A146&amp;" - "&amp;D146)</f>
        <v/>
      </c>
    </row>
    <row r="147" spans="7:7">
      <c r="G147" s="9">
        <f>IF(A147="","",A147&amp;" - "&amp;D147)</f>
        <v/>
      </c>
    </row>
    <row r="148" spans="7:7">
      <c r="G148" s="9">
        <f>IF(A148="","",A148&amp;" - "&amp;D148)</f>
        <v/>
      </c>
    </row>
    <row r="149" spans="7:7">
      <c r="G149" s="9">
        <f>IF(A149="","",A149&amp;" - "&amp;D149)</f>
        <v/>
      </c>
    </row>
    <row r="150" spans="7:7">
      <c r="G150" s="9">
        <f>IF(A150="","",A150&amp;" - "&amp;D150)</f>
        <v/>
      </c>
    </row>
    <row r="151" spans="7:7">
      <c r="G151" s="9">
        <f>IF(A151="","",A151&amp;" - "&amp;D151)</f>
        <v/>
      </c>
    </row>
    <row r="152" spans="7:7">
      <c r="G152" s="9">
        <f>IF(A152="","",A152&amp;" - "&amp;D152)</f>
        <v/>
      </c>
    </row>
    <row r="153" spans="7:7">
      <c r="G153" s="9">
        <f>IF(A153="","",A153&amp;" - "&amp;D153)</f>
        <v/>
      </c>
    </row>
    <row r="154" spans="7:7">
      <c r="G154" s="9">
        <f>IF(A154="","",A154&amp;" - "&amp;D154)</f>
        <v/>
      </c>
    </row>
    <row r="155" spans="7:7">
      <c r="G155" s="9">
        <f>IF(A155="","",A155&amp;" - "&amp;D155)</f>
        <v/>
      </c>
    </row>
    <row r="156" spans="7:7">
      <c r="G156" s="9">
        <f>IF(A156="","",A156&amp;" - "&amp;D156)</f>
        <v/>
      </c>
    </row>
    <row r="157" spans="7:7">
      <c r="G157" s="9">
        <f>IF(A157="","",A157&amp;" - "&amp;D157)</f>
        <v/>
      </c>
    </row>
    <row r="158" spans="7:7">
      <c r="G158" s="9">
        <f>IF(A158="","",A158&amp;" - "&amp;D158)</f>
        <v/>
      </c>
    </row>
    <row r="159" spans="7:7">
      <c r="G159" s="9">
        <f>IF(A159="","",A159&amp;" - "&amp;D159)</f>
        <v/>
      </c>
    </row>
    <row r="160" spans="7:7">
      <c r="G160" s="9">
        <f>IF(A160="","",A160&amp;" - "&amp;D160)</f>
        <v/>
      </c>
    </row>
    <row r="161" spans="7:7">
      <c r="G161" s="9">
        <f>IF(A161="","",A161&amp;" - "&amp;D161)</f>
        <v/>
      </c>
    </row>
    <row r="162" spans="7:7">
      <c r="G162" s="9">
        <f>IF(A162="","",A162&amp;" - "&amp;D162)</f>
        <v/>
      </c>
    </row>
    <row r="163" spans="7:7">
      <c r="G163" s="9">
        <f>IF(A163="","",A163&amp;" - "&amp;D163)</f>
        <v/>
      </c>
    </row>
    <row r="164" spans="7:7">
      <c r="G164" s="9">
        <f>IF(A164="","",A164&amp;" - "&amp;D164)</f>
        <v/>
      </c>
    </row>
    <row r="165" spans="7:7">
      <c r="G165" s="9">
        <f>IF(A165="","",A165&amp;" - "&amp;D165)</f>
        <v/>
      </c>
    </row>
    <row r="166" spans="7:7">
      <c r="G166" s="9">
        <f>IF(A166="","",A166&amp;" - "&amp;D166)</f>
        <v/>
      </c>
    </row>
    <row r="167" spans="7:7">
      <c r="G167" s="9">
        <f>IF(A167="","",A167&amp;" - "&amp;D167)</f>
        <v/>
      </c>
    </row>
    <row r="168" spans="7:7">
      <c r="G168" s="9">
        <f>IF(A168="","",A168&amp;" - "&amp;D168)</f>
        <v/>
      </c>
    </row>
    <row r="169" spans="7:7">
      <c r="G169" s="9">
        <f>IF(A169="","",A169&amp;" - "&amp;D169)</f>
        <v/>
      </c>
    </row>
    <row r="170" spans="7:7">
      <c r="G170" s="9">
        <f>IF(A170="","",A170&amp;" - "&amp;D170)</f>
        <v/>
      </c>
    </row>
    <row r="171" spans="7:7">
      <c r="G171" s="9">
        <f>IF(A171="","",A171&amp;" - "&amp;D171)</f>
        <v/>
      </c>
    </row>
    <row r="172" spans="7:7">
      <c r="G172" s="9">
        <f>IF(A172="","",A172&amp;" - "&amp;D172)</f>
        <v/>
      </c>
    </row>
    <row r="173" spans="7:7">
      <c r="G173" s="9">
        <f>IF(A173="","",A173&amp;" - "&amp;D173)</f>
        <v/>
      </c>
    </row>
    <row r="174" spans="7:7">
      <c r="G174" s="9">
        <f>IF(A174="","",A174&amp;" - "&amp;D174)</f>
        <v/>
      </c>
    </row>
    <row r="175" spans="7:7">
      <c r="G175" s="9">
        <f>IF(A175="","",A175&amp;" - "&amp;D175)</f>
        <v/>
      </c>
    </row>
    <row r="176" spans="7:7">
      <c r="G176" s="9">
        <f>IF(A176="","",A176&amp;" - "&amp;D176)</f>
        <v/>
      </c>
    </row>
    <row r="177" spans="7:7">
      <c r="G177" s="9">
        <f>IF(A177="","",A177&amp;" - "&amp;D177)</f>
        <v/>
      </c>
    </row>
    <row r="178" spans="7:7">
      <c r="G178" s="9">
        <f>IF(A178="","",A178&amp;" - "&amp;D178)</f>
        <v/>
      </c>
    </row>
    <row r="179" spans="7:7">
      <c r="G179" s="9">
        <f>IF(A179="","",A179&amp;" - "&amp;D179)</f>
        <v/>
      </c>
    </row>
    <row r="180" spans="7:7">
      <c r="G180" s="9">
        <f>IF(A180="","",A180&amp;" - "&amp;D180)</f>
        <v/>
      </c>
    </row>
    <row r="181" spans="7:7">
      <c r="G181" s="9">
        <f>IF(A181="","",A181&amp;" - "&amp;D181)</f>
        <v/>
      </c>
    </row>
    <row r="182" spans="7:7">
      <c r="G182" s="9">
        <f>IF(A182="","",A182&amp;" - "&amp;D182)</f>
        <v/>
      </c>
    </row>
    <row r="183" spans="7:7">
      <c r="G183" s="9">
        <f>IF(A183="","",A183&amp;" - "&amp;D183)</f>
        <v/>
      </c>
    </row>
    <row r="184" spans="7:7">
      <c r="G184" s="9">
        <f>IF(A184="","",A184&amp;" - "&amp;D184)</f>
        <v/>
      </c>
    </row>
    <row r="185" spans="7:7">
      <c r="G185" s="9">
        <f>IF(A185="","",A185&amp;" - "&amp;D185)</f>
        <v/>
      </c>
    </row>
    <row r="186" spans="7:7">
      <c r="G186" s="9">
        <f>IF(A186="","",A186&amp;" - "&amp;D186)</f>
        <v/>
      </c>
    </row>
    <row r="187" spans="7:7">
      <c r="G187" s="9">
        <f>IF(A187="","",A187&amp;" - "&amp;D187)</f>
        <v/>
      </c>
    </row>
    <row r="188" spans="7:7">
      <c r="G188" s="9">
        <f>IF(A188="","",A188&amp;" - "&amp;D188)</f>
        <v/>
      </c>
    </row>
    <row r="189" spans="7:7">
      <c r="G189" s="9">
        <f>IF(A189="","",A189&amp;" - "&amp;D189)</f>
        <v/>
      </c>
    </row>
    <row r="190" spans="7:7">
      <c r="G190" s="9">
        <f>IF(A190="","",A190&amp;" - "&amp;D190)</f>
        <v/>
      </c>
    </row>
    <row r="191" spans="7:7">
      <c r="G191" s="9">
        <f>IF(A191="","",A191&amp;" - "&amp;D191)</f>
        <v/>
      </c>
    </row>
    <row r="192" spans="7:7">
      <c r="G192" s="9">
        <f>IF(A192="","",A192&amp;" - "&amp;D192)</f>
        <v/>
      </c>
    </row>
    <row r="193" spans="7:7">
      <c r="G193" s="9">
        <f>IF(A193="","",A193&amp;" - "&amp;D193)</f>
        <v/>
      </c>
    </row>
    <row r="194" spans="7:7">
      <c r="G194" s="9">
        <f>IF(A194="","",A194&amp;" - "&amp;D194)</f>
        <v/>
      </c>
    </row>
    <row r="195" spans="7:7">
      <c r="G195" s="9">
        <f>IF(A195="","",A195&amp;" - "&amp;D195)</f>
        <v/>
      </c>
    </row>
    <row r="196" spans="7:7">
      <c r="G196" s="9">
        <f>IF(A196="","",A196&amp;" - "&amp;D196)</f>
        <v/>
      </c>
    </row>
    <row r="197" spans="7:7">
      <c r="G197" s="9">
        <f>IF(A197="","",A197&amp;" - "&amp;D197)</f>
        <v/>
      </c>
    </row>
    <row r="198" spans="7:7">
      <c r="G198" s="9">
        <f>IF(A198="","",A198&amp;" - "&amp;D198)</f>
        <v/>
      </c>
    </row>
    <row r="199" spans="7:7">
      <c r="G199" s="9">
        <f>IF(A199="","",A199&amp;" - "&amp;D199)</f>
        <v/>
      </c>
    </row>
    <row r="200" spans="7:7">
      <c r="G200" s="9">
        <f>IF(A200="","",A200&amp;" - "&amp;D200)</f>
        <v/>
      </c>
    </row>
    <row r="201" spans="7:7">
      <c r="G201" s="9">
        <f>IF(A201="","",A201&amp;" - "&amp;D201)</f>
        <v/>
      </c>
    </row>
    <row r="202" spans="7:7">
      <c r="G202" s="9">
        <f>IF(A202="","",A202&amp;" - "&amp;D202)</f>
        <v/>
      </c>
    </row>
    <row r="203" spans="7:7">
      <c r="G203" s="9">
        <f>IF(A203="","",A203&amp;" - "&amp;D203)</f>
        <v/>
      </c>
    </row>
    <row r="204" spans="7:7">
      <c r="G204" s="9">
        <f>IF(A204="","",A204&amp;" - "&amp;D204)</f>
        <v/>
      </c>
    </row>
  </sheetData>
  <sheetProtection password="B542" sheet="1" objects="1" scenarios="1" formatColumns="0" formatRows="0" autoFilter="0"/>
  <mergeCells count="1">
    <mergeCell ref="A1:H1"/>
  </mergeCells>
  <dataValidations count="3">
    <dataValidation type="list" errorStyle="warning" allowBlank="1" showInputMessage="1" showErrorMessage="1" error="Valeur hors liste : vérifiez la saisie." sqref="B5:B3001">
      <formula1>L_SENS</formula1>
    </dataValidation>
    <dataValidation type="list" errorStyle="warning" allowBlank="1" showInputMessage="1" showErrorMessage="1" error="Valeur hors liste : vérifiez la saisie." sqref="E5:E3001">
      <formula1>L_FONDS</formula1>
    </dataValidation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Bareme"/>
  <dimension ref="A1:H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44.7109375" style="9" customWidth="1"/>
    <col min="2" max="2" width="11.7109375" style="9" customWidth="1"/>
    <col min="3" max="4" width="13.7109375" style="19" customWidth="1"/>
    <col min="5" max="5" width="46.7109375" style="9" customWidth="1"/>
    <col min="6" max="6" width="24.7109375" style="9" customWidth="1"/>
    <col min="7" max="7" width="40.7109375" style="9" customWidth="1"/>
  </cols>
  <sheetData>
    <row r="1" spans="1:8" ht="30" customHeight="1">
      <c r="A1" s="13" t="s">
        <v>735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553</v>
      </c>
      <c r="B4" s="14" t="s">
        <v>554</v>
      </c>
      <c r="C4" s="14" t="s">
        <v>555</v>
      </c>
      <c r="D4" s="14" t="s">
        <v>736</v>
      </c>
      <c r="E4" s="14" t="s">
        <v>562</v>
      </c>
      <c r="F4" s="14" t="s">
        <v>563</v>
      </c>
      <c r="G4" s="14" t="s">
        <v>737</v>
      </c>
    </row>
    <row r="5" spans="1:8">
      <c r="A5" s="9" t="s">
        <v>738</v>
      </c>
      <c r="B5" s="9" t="s">
        <v>353</v>
      </c>
      <c r="C5" s="19">
        <v>2500</v>
      </c>
      <c r="D5" s="19">
        <v>0</v>
      </c>
      <c r="E5" s="9" t="s">
        <v>739</v>
      </c>
      <c r="F5" s="9" t="s">
        <v>740</v>
      </c>
      <c r="G5" s="9" t="s">
        <v>741</v>
      </c>
    </row>
    <row r="6" spans="1:8">
      <c r="A6" s="9" t="s">
        <v>742</v>
      </c>
      <c r="B6" s="9" t="s">
        <v>353</v>
      </c>
      <c r="C6" s="19">
        <v>1000</v>
      </c>
      <c r="D6" s="19">
        <v>40000</v>
      </c>
      <c r="E6" s="9" t="s">
        <v>743</v>
      </c>
      <c r="F6" s="9" t="s">
        <v>744</v>
      </c>
    </row>
    <row r="7" spans="1:8">
      <c r="A7" s="9" t="s">
        <v>745</v>
      </c>
      <c r="B7" s="9" t="s">
        <v>353</v>
      </c>
      <c r="C7" s="19">
        <v>0</v>
      </c>
      <c r="D7" s="19">
        <v>0</v>
      </c>
      <c r="E7" s="9" t="s">
        <v>746</v>
      </c>
      <c r="F7" s="9" t="s">
        <v>747</v>
      </c>
    </row>
    <row r="8" spans="1:8">
      <c r="A8" s="9" t="s">
        <v>748</v>
      </c>
      <c r="B8" s="9" t="s">
        <v>353</v>
      </c>
      <c r="C8" s="19">
        <v>1500</v>
      </c>
      <c r="D8" s="19">
        <v>50000</v>
      </c>
      <c r="E8" s="9" t="s">
        <v>743</v>
      </c>
    </row>
    <row r="9" spans="1:8">
      <c r="A9" s="9" t="s">
        <v>749</v>
      </c>
      <c r="B9" s="9" t="s">
        <v>352</v>
      </c>
      <c r="C9" s="19">
        <v>0</v>
      </c>
      <c r="D9" s="19">
        <v>0</v>
      </c>
      <c r="E9" s="9" t="s">
        <v>750</v>
      </c>
      <c r="G9" s="9" t="s">
        <v>751</v>
      </c>
    </row>
    <row r="10" spans="1:8">
      <c r="A10" s="9" t="s">
        <v>752</v>
      </c>
      <c r="B10" s="9" t="s">
        <v>352</v>
      </c>
      <c r="C10" s="19">
        <v>5000</v>
      </c>
      <c r="D10" s="19">
        <v>200000</v>
      </c>
      <c r="E10" s="9" t="s">
        <v>743</v>
      </c>
      <c r="G10" s="9" t="s">
        <v>753</v>
      </c>
    </row>
    <row r="11" spans="1:8">
      <c r="A11" s="9" t="s">
        <v>754</v>
      </c>
      <c r="B11" s="9" t="s">
        <v>352</v>
      </c>
      <c r="C11" s="19">
        <v>1000</v>
      </c>
      <c r="D11" s="19">
        <v>0</v>
      </c>
    </row>
    <row r="12" spans="1:8">
      <c r="A12" s="9" t="s">
        <v>755</v>
      </c>
      <c r="B12" s="9" t="s">
        <v>352</v>
      </c>
      <c r="C12" s="19">
        <v>500</v>
      </c>
      <c r="D12" s="19">
        <v>0</v>
      </c>
    </row>
    <row r="13" spans="1:8">
      <c r="A13" s="9" t="s">
        <v>756</v>
      </c>
      <c r="B13" s="9" t="s">
        <v>352</v>
      </c>
      <c r="C13" s="19">
        <v>0</v>
      </c>
      <c r="D13" s="19">
        <v>0</v>
      </c>
    </row>
  </sheetData>
  <sheetProtection password="B542" sheet="1" objects="1" scenarios="1" formatColumns="0" formatRows="0" autoFilter="0"/>
  <mergeCells count="1">
    <mergeCell ref="A1:H1"/>
  </mergeCells>
  <dataValidations count="1">
    <dataValidation type="list" errorStyle="warning" allowBlank="1" showInputMessage="1" showErrorMessage="1" error="Valeur hors liste : vérifiez la saisie." sqref="B5:B3001">
      <formula1>L_NATURES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37</vt:i4>
      </vt:variant>
    </vt:vector>
  </HeadingPairs>
  <TitlesOfParts>
    <vt:vector size="38" baseType="lpstr">
      <vt:lpstr>ACCUEIL</vt:lpstr>
      <vt:lpstr>L_APPLICABLE</vt:lpstr>
      <vt:lpstr>L_CAISSES</vt:lpstr>
      <vt:lpstr>L_CAMPAGNES</vt:lpstr>
      <vt:lpstr>L_CAT_PAT</vt:lpstr>
      <vt:lpstr>L_CATEGORIES</vt:lpstr>
      <vt:lpstr>L_CODES</vt:lpstr>
      <vt:lpstr>L_COMMISSIONS</vt:lpstr>
      <vt:lpstr>L_DECISIONS</vt:lpstr>
      <vt:lpstr>L_ETATS</vt:lpstr>
      <vt:lpstr>L_EVENEMENTS</vt:lpstr>
      <vt:lpstr>L_FILTRE_TYPES</vt:lpstr>
      <vt:lpstr>L_FONCTIONS</vt:lpstr>
      <vt:lpstr>L_FONDS</vt:lpstr>
      <vt:lpstr>L_MODES</vt:lpstr>
      <vt:lpstr>L_NATURES</vt:lpstr>
      <vt:lpstr>L_OFFICIANTS</vt:lpstr>
      <vt:lpstr>L_OPERATIONS</vt:lpstr>
      <vt:lpstr>L_OUINON</vt:lpstr>
      <vt:lpstr>L_OUINONNA</vt:lpstr>
      <vt:lpstr>L_PUPITRES</vt:lpstr>
      <vt:lpstr>L_ROLES</vt:lpstr>
      <vt:lpstr>L_RUBRIQUES</vt:lpstr>
      <vt:lpstr>L_SEANCES</vt:lpstr>
      <vt:lpstr>L_SENS</vt:lpstr>
      <vt:lpstr>L_SEXE</vt:lpstr>
      <vt:lpstr>L_SITUATIONS</vt:lpstr>
      <vt:lpstr>L_STATUTS</vt:lpstr>
      <vt:lpstr>L_STATUTS_CAMPAGNE</vt:lpstr>
      <vt:lpstr>L_STATUTS_SEANCE</vt:lpstr>
      <vt:lpstr>L_TYPES</vt:lpstr>
      <vt:lpstr>L_TYPES_PERTE</vt:lpstr>
      <vt:lpstr>RECU!Print_Area</vt:lpstr>
      <vt:lpstr>COTISATIONS!Print_Titles</vt:lpstr>
      <vt:lpstr>ELECTEURS!Print_Titles</vt:lpstr>
      <vt:lpstr>FICHE_APPEL!Print_Titles</vt:lpstr>
      <vt:lpstr>SUIVI_BUDGET!Print_Titles</vt:lpstr>
      <vt:lpstr>SUIVI_CAMPAGNE!Print_Titles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2026-10-24T12:38:42Z</dcterms:created>
  <dcterms:modified xsi:type="dcterms:W3CDTF">2026-10-24T12:38:42Z</dcterms:modified>
</cp:coreProperties>
</file>